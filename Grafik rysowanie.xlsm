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en_skoroszyt"/>
  <mc:AlternateContent xmlns:mc="http://schemas.openxmlformats.org/markup-compatibility/2006">
    <mc:Choice Requires="x15">
      <x15ac:absPath xmlns:x15ac="http://schemas.microsoft.com/office/spreadsheetml/2010/11/ac" url="E:\Nauka\grafik\"/>
    </mc:Choice>
  </mc:AlternateContent>
  <xr:revisionPtr revIDLastSave="0" documentId="13_ncr:1_{059949E5-A97B-4D84-AD8B-CD6F87A5BFB4}" xr6:coauthVersionLast="46" xr6:coauthVersionMax="46" xr10:uidLastSave="{00000000-0000-0000-0000-000000000000}"/>
  <bookViews>
    <workbookView xWindow="-21720" yWindow="-120" windowWidth="21840" windowHeight="13140" tabRatio="873" activeTab="4" xr2:uid="{00000000-000D-0000-FFFF-FFFF00000000}"/>
  </bookViews>
  <sheets>
    <sheet name="1-6" sheetId="5" r:id="rId1"/>
    <sheet name="7-13" sheetId="6" r:id="rId2"/>
    <sheet name="14-20" sheetId="2" r:id="rId3"/>
    <sheet name="21-27" sheetId="3" r:id="rId4"/>
    <sheet name="24-30" sheetId="4" r:id="rId5"/>
  </sheets>
  <functionGroups builtInGroupCount="19"/>
  <definedNames>
    <definedName name="_xlnm.Print_Area" localSheetId="2">'14-20'!$A$3:$M$32</definedName>
    <definedName name="_xlnm.Print_Area" localSheetId="0">'1-6'!$A$1:$M$34</definedName>
    <definedName name="_xlnm.Print_Area" localSheetId="3">'21-27'!$A$3:$M$32</definedName>
    <definedName name="_xlnm.Print_Area" localSheetId="4">'24-30'!$A$3:$M$37</definedName>
    <definedName name="_xlnm.Print_Area" localSheetId="1">'7-13'!$A$3:$M$32</definedName>
  </definedNames>
  <calcPr calcId="191029" calcMode="manual" forceFullCalc="1"/>
</workbook>
</file>

<file path=xl/calcChain.xml><?xml version="1.0" encoding="utf-8"?>
<calcChain xmlns="http://schemas.openxmlformats.org/spreadsheetml/2006/main">
  <c r="C41" i="5" l="1"/>
  <c r="J29" i="3"/>
  <c r="J34" i="4"/>
  <c r="J29" i="2"/>
  <c r="J35" i="4"/>
  <c r="J30" i="2"/>
  <c r="J30" i="3"/>
  <c r="J30" i="6"/>
  <c r="J30" i="5"/>
  <c r="J33" i="4"/>
  <c r="J28" i="2"/>
  <c r="J29" i="6"/>
  <c r="J28" i="3"/>
  <c r="J28" i="6"/>
  <c r="J29" i="5"/>
  <c r="J28" i="5"/>
  <c r="L28" i="5" l="1"/>
  <c r="L28" i="6" s="1"/>
  <c r="L28" i="2" s="1"/>
  <c r="L28" i="3" s="1"/>
  <c r="L29" i="5"/>
  <c r="L29" i="6" s="1"/>
  <c r="L29" i="2" s="1"/>
  <c r="L29" i="3" s="1"/>
  <c r="L30" i="5"/>
  <c r="L30" i="6" s="1"/>
  <c r="L30" i="2" s="1"/>
  <c r="L30" i="3" s="1"/>
  <c r="L35" i="4" l="1"/>
  <c r="L34" i="4"/>
  <c r="L33" i="4"/>
</calcChain>
</file>

<file path=xl/sharedStrings.xml><?xml version="1.0" encoding="utf-8"?>
<sst xmlns="http://schemas.openxmlformats.org/spreadsheetml/2006/main" count="193" uniqueCount="40">
  <si>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</si>
  <si>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</si>
  <si>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</si>
  <si>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</si>
  <si>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</si>
  <si>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</si>
  <si>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</si>
  <si>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</si>
  <si>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</si>
  <si>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</si>
  <si>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</si>
  <si>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</si>
  <si>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Poniedziałek</t>
  </si>
  <si>
    <t>Marta</t>
  </si>
  <si>
    <t>do wisania do listy</t>
  </si>
  <si>
    <t>Marcin</t>
  </si>
  <si>
    <t>Gosia</t>
  </si>
  <si>
    <t>Wtorek</t>
  </si>
  <si>
    <t>Środa</t>
  </si>
  <si>
    <t>Czwartek</t>
  </si>
  <si>
    <t>Piątek</t>
  </si>
  <si>
    <t>Sobota</t>
  </si>
  <si>
    <t>Niedziela</t>
  </si>
  <si>
    <t>Pracownik</t>
  </si>
  <si>
    <t>Godziny w tygodniu</t>
  </si>
  <si>
    <t>Godziny w miesiącu</t>
  </si>
  <si>
    <t>Miesiąc</t>
  </si>
  <si>
    <t>Rok</t>
  </si>
  <si>
    <t>Maj</t>
  </si>
  <si>
    <t>Luty</t>
  </si>
  <si>
    <t>Marzec</t>
  </si>
  <si>
    <t>Kwiecień</t>
  </si>
  <si>
    <t>Czerwiec</t>
  </si>
  <si>
    <t>Lipiec</t>
  </si>
  <si>
    <t>Styczeń</t>
  </si>
  <si>
    <t>Sierpień</t>
  </si>
  <si>
    <t>Wrzesień</t>
  </si>
  <si>
    <t>Październik</t>
  </si>
  <si>
    <t>Listopad</t>
  </si>
  <si>
    <t>Grudzień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</si>
</sst>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color indexed="8"/>
      <name val="Lucida Sans"/>
      <family val="2"/>
      <charset val="238"/>
    </font>
    <font>
      <sz val="10"/>
      <color indexed="9"/>
      <name val="Lucida Sans"/>
      <family val="2"/>
      <charset val="238"/>
    </font>
    <font>
      <sz val="10"/>
      <color indexed="37"/>
      <name val="Lucida Sans"/>
      <family val="2"/>
      <charset val="238"/>
    </font>
    <font>
      <sz val="10"/>
      <color indexed="23"/>
      <name val="Lucida Sans"/>
      <family val="2"/>
      <charset val="238"/>
    </font>
    <font>
      <sz val="10"/>
      <color indexed="17"/>
      <name val="Lucida Sans"/>
      <family val="2"/>
      <charset val="238"/>
    </font>
    <font>
      <u/>
      <sz val="10"/>
      <color indexed="39"/>
      <name val="Lucida Sans"/>
      <family val="2"/>
      <charset val="238"/>
    </font>
    <font>
      <sz val="10"/>
      <color indexed="19"/>
      <name val="Lucida Sans"/>
      <family val="2"/>
      <charset val="238"/>
    </font>
    <font>
      <sz val="10"/>
      <color indexed="63"/>
      <name val="Lucida Sans"/>
      <family val="2"/>
      <charset val="238"/>
    </font>
    <font>
      <sz val="10"/>
      <name val="Lucida Sans"/>
      <family val="2"/>
      <charset val="238"/>
    </font>
    <font>
      <sz val="11"/>
      <color indexed="8"/>
      <name val="Calibri"/>
      <family val="2"/>
      <charset val="238"/>
    </font>
    <font>
      <sz val="11"/>
      <name val="Calibri"/>
      <family val="2"/>
      <charset val="238"/>
    </font>
    <font>
      <b/>
      <sz val="11"/>
      <color indexed="9"/>
      <name val="Calibri"/>
      <family val="2"/>
      <charset val="238"/>
    </font>
    <font>
      <b/>
      <i/>
      <sz val="11"/>
      <color indexed="9"/>
      <name val="Calibri"/>
      <family val="2"/>
      <charset val="238"/>
    </font>
    <font>
      <b/>
      <sz val="11"/>
      <color indexed="8"/>
      <name val="Calibri"/>
      <family val="2"/>
      <charset val="238"/>
    </font>
    <font>
      <b/>
      <i/>
      <sz val="11"/>
      <color indexed="48"/>
      <name val="Calibri"/>
      <family val="2"/>
      <charset val="238"/>
    </font>
    <font>
      <b/>
      <i/>
      <sz val="11"/>
      <color indexed="10"/>
      <name val="Calibri"/>
      <family val="2"/>
      <charset val="238"/>
    </font>
    <font>
      <b/>
      <i/>
      <sz val="11"/>
      <color indexed="51"/>
      <name val="Calibri"/>
      <family val="2"/>
      <charset val="238"/>
    </font>
    <font>
      <b/>
      <i/>
      <sz val="11"/>
      <color indexed="16"/>
      <name val="Calibri"/>
      <family val="2"/>
      <charset val="238"/>
    </font>
    <font>
      <b/>
      <i/>
      <sz val="11"/>
      <color indexed="30"/>
      <name val="Calibri"/>
      <family val="2"/>
      <charset val="238"/>
    </font>
    <font>
      <b/>
      <sz val="10"/>
      <name val="Arial"/>
      <family val="2"/>
      <charset val="238"/>
    </font>
    <font>
      <b/>
      <sz val="10"/>
      <color rgb="FFFFFFFF"/>
      <name val="Arial"/>
      <family val="2"/>
      <charset val="238"/>
    </font>
    <font>
      <b/>
      <sz val="11"/>
      <color theme="0"/>
      <name val="Calibri"/>
      <family val="2"/>
      <charset val="238"/>
    </font>
    <font>
      <sz val="8"/>
      <name val="Arial"/>
      <family val="2"/>
      <charset val="238"/>
    </font>
    <font>
      <b/>
      <sz val="11"/>
      <color rgb="FFFFFFFF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47"/>
      </patternFill>
    </fill>
    <fill>
      <patternFill patternType="solid">
        <fgColor indexed="47"/>
        <bgColor indexed="31"/>
      </patternFill>
    </fill>
    <fill>
      <patternFill patternType="solid">
        <fgColor indexed="37"/>
        <bgColor indexed="16"/>
      </patternFill>
    </fill>
    <fill>
      <patternFill patternType="solid">
        <fgColor indexed="42"/>
        <bgColor indexed="27"/>
      </patternFill>
    </fill>
    <fill>
      <patternFill patternType="solid">
        <fgColor indexed="26"/>
        <bgColor indexed="9"/>
      </patternFill>
    </fill>
    <fill>
      <patternFill patternType="solid">
        <fgColor indexed="30"/>
        <bgColor indexed="21"/>
      </patternFill>
    </fill>
    <fill>
      <patternFill patternType="solid">
        <fgColor indexed="51"/>
        <bgColor indexed="52"/>
      </patternFill>
    </fill>
    <fill>
      <patternFill patternType="solid">
        <fgColor rgb="FFFFCC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800000"/>
        <bgColor indexed="37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9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4" fillId="5" borderId="0" applyNumberFormat="0" applyBorder="0" applyAlignment="0" applyProtection="0"/>
    <xf numFmtId="0" fontId="3" fillId="6" borderId="0" applyNumberFormat="0" applyBorder="0" applyAlignment="0" applyProtection="0"/>
    <xf numFmtId="0" fontId="11" fillId="0" borderId="0"/>
    <xf numFmtId="0" fontId="5" fillId="0" borderId="0" applyNumberFormat="0" applyFill="0" applyBorder="0" applyAlignment="0" applyProtection="0"/>
    <xf numFmtId="0" fontId="6" fillId="7" borderId="0" applyNumberFormat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8" borderId="0" applyNumberFormat="0" applyBorder="0" applyAlignment="0" applyProtection="0"/>
    <xf numFmtId="0" fontId="9" fillId="8" borderId="1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4">
    <xf numFmtId="0" fontId="0" fillId="0" borderId="0" xfId="0"/>
    <xf numFmtId="0" fontId="11" fillId="0" borderId="0" xfId="7"/>
    <xf numFmtId="0" fontId="11" fillId="0" borderId="0" xfId="7" applyFont="1" applyAlignment="1">
      <alignment horizontal="center"/>
    </xf>
    <xf numFmtId="49" fontId="11" fillId="0" borderId="0" xfId="7" applyNumberFormat="1" applyFont="1" applyAlignment="1">
      <alignment horizontal="center"/>
    </xf>
    <xf numFmtId="0" fontId="11" fillId="0" borderId="0" xfId="7" applyFill="1"/>
    <xf numFmtId="0" fontId="0" fillId="0" borderId="0" xfId="0" applyAlignment="1">
      <alignment horizontal="center"/>
    </xf>
    <xf numFmtId="0" fontId="18" fillId="0" borderId="0" xfId="7" applyFont="1" applyAlignment="1">
      <alignment horizontal="center"/>
    </xf>
    <xf numFmtId="0" fontId="19" fillId="0" borderId="0" xfId="7" applyFont="1" applyAlignment="1">
      <alignment horizontal="center"/>
    </xf>
    <xf numFmtId="0" fontId="20" fillId="0" borderId="0" xfId="7" applyFont="1" applyAlignment="1">
      <alignment horizontal="center"/>
    </xf>
    <xf numFmtId="0" fontId="15" fillId="0" borderId="0" xfId="7" applyFont="1" applyAlignment="1">
      <alignment horizontal="center"/>
    </xf>
    <xf numFmtId="0" fontId="11" fillId="0" borderId="0" xfId="7" applyFill="1" applyBorder="1"/>
    <xf numFmtId="0" fontId="13" fillId="0" borderId="0" xfId="7" applyFont="1" applyFill="1" applyBorder="1" applyAlignment="1">
      <alignment horizontal="center"/>
    </xf>
    <xf numFmtId="14" fontId="0" fillId="0" borderId="0" xfId="0" applyNumberFormat="1"/>
    <xf numFmtId="14" fontId="11" fillId="0" borderId="0" xfId="7" applyNumberFormat="1" applyFont="1" applyAlignment="1">
      <alignment horizontal="center"/>
    </xf>
    <xf numFmtId="1" fontId="11" fillId="0" borderId="0" xfId="7" applyNumberFormat="1"/>
    <xf numFmtId="0" fontId="11" fillId="0" borderId="2" xfId="7" applyBorder="1"/>
    <xf numFmtId="0" fontId="11" fillId="0" borderId="5" xfId="7" applyBorder="1"/>
    <xf numFmtId="0" fontId="11" fillId="0" borderId="6" xfId="7" applyFill="1" applyBorder="1"/>
    <xf numFmtId="0" fontId="11" fillId="9" borderId="8" xfId="7" applyFill="1" applyBorder="1"/>
    <xf numFmtId="0" fontId="13" fillId="9" borderId="8" xfId="7" applyFont="1" applyFill="1" applyBorder="1" applyAlignment="1">
      <alignment horizontal="center"/>
    </xf>
    <xf numFmtId="0" fontId="11" fillId="9" borderId="9" xfId="7" applyFill="1" applyBorder="1"/>
    <xf numFmtId="0" fontId="17" fillId="0" borderId="8" xfId="7" applyFont="1" applyBorder="1" applyAlignment="1">
      <alignment horizontal="center"/>
    </xf>
    <xf numFmtId="0" fontId="11" fillId="0" borderId="8" xfId="7" applyBorder="1"/>
    <xf numFmtId="0" fontId="11" fillId="0" borderId="8" xfId="7" applyFill="1" applyBorder="1"/>
    <xf numFmtId="0" fontId="13" fillId="0" borderId="8" xfId="7" applyFont="1" applyFill="1" applyBorder="1" applyAlignment="1">
      <alignment horizontal="center"/>
    </xf>
    <xf numFmtId="0" fontId="11" fillId="0" borderId="9" xfId="7" applyFill="1" applyBorder="1"/>
    <xf numFmtId="0" fontId="11" fillId="0" borderId="9" xfId="7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11" fillId="16" borderId="3" xfId="7" applyFill="1" applyBorder="1"/>
    <xf numFmtId="0" fontId="13" fillId="16" borderId="3" xfId="7" applyFont="1" applyFill="1" applyBorder="1" applyAlignment="1">
      <alignment horizontal="center"/>
    </xf>
    <xf numFmtId="0" fontId="11" fillId="16" borderId="4" xfId="7" applyFill="1" applyBorder="1"/>
    <xf numFmtId="0" fontId="11" fillId="0" borderId="3" xfId="7" applyFill="1" applyBorder="1"/>
    <xf numFmtId="0" fontId="11" fillId="9" borderId="3" xfId="7" applyFill="1" applyBorder="1"/>
    <xf numFmtId="0" fontId="13" fillId="9" borderId="3" xfId="7" applyFont="1" applyFill="1" applyBorder="1" applyAlignment="1">
      <alignment horizontal="center"/>
    </xf>
    <xf numFmtId="0" fontId="11" fillId="0" borderId="4" xfId="7" applyFill="1" applyBorder="1"/>
    <xf numFmtId="0" fontId="0" fillId="13" borderId="3" xfId="0" applyFill="1" applyBorder="1"/>
    <xf numFmtId="0" fontId="22" fillId="13" borderId="3" xfId="0" applyFont="1" applyFill="1" applyBorder="1" applyAlignment="1">
      <alignment horizontal="center"/>
    </xf>
    <xf numFmtId="0" fontId="14" fillId="0" borderId="3" xfId="7" applyFont="1" applyFill="1" applyBorder="1"/>
    <xf numFmtId="0" fontId="14" fillId="0" borderId="4" xfId="7" applyFont="1" applyFill="1" applyBorder="1"/>
    <xf numFmtId="0" fontId="11" fillId="10" borderId="8" xfId="7" applyFill="1" applyBorder="1"/>
    <xf numFmtId="0" fontId="15" fillId="10" borderId="8" xfId="7" applyFont="1" applyFill="1" applyBorder="1" applyAlignment="1">
      <alignment horizontal="center"/>
    </xf>
    <xf numFmtId="0" fontId="11" fillId="10" borderId="9" xfId="7" applyFill="1" applyBorder="1"/>
    <xf numFmtId="0" fontId="11" fillId="16" borderId="8" xfId="7" applyFill="1" applyBorder="1"/>
    <xf numFmtId="0" fontId="13" fillId="16" borderId="8" xfId="7" applyFont="1" applyFill="1" applyBorder="1" applyAlignment="1">
      <alignment horizontal="center"/>
    </xf>
    <xf numFmtId="0" fontId="11" fillId="16" borderId="9" xfId="7" applyFill="1" applyBorder="1"/>
    <xf numFmtId="0" fontId="11" fillId="10" borderId="3" xfId="7" applyFill="1" applyBorder="1"/>
    <xf numFmtId="0" fontId="15" fillId="10" borderId="3" xfId="7" applyFont="1" applyFill="1" applyBorder="1" applyAlignment="1">
      <alignment horizontal="center"/>
    </xf>
    <xf numFmtId="0" fontId="11" fillId="10" borderId="4" xfId="7" applyFill="1" applyBorder="1"/>
    <xf numFmtId="0" fontId="11" fillId="9" borderId="4" xfId="7" applyFill="1" applyBorder="1"/>
    <xf numFmtId="49" fontId="11" fillId="17" borderId="3" xfId="7" applyNumberFormat="1" applyFont="1" applyFill="1" applyBorder="1" applyAlignment="1">
      <alignment horizontal="center"/>
    </xf>
    <xf numFmtId="49" fontId="11" fillId="17" borderId="4" xfId="7" applyNumberFormat="1" applyFont="1" applyFill="1" applyBorder="1" applyAlignment="1">
      <alignment horizontal="center"/>
    </xf>
    <xf numFmtId="49" fontId="11" fillId="17" borderId="0" xfId="7" applyNumberFormat="1" applyFont="1" applyFill="1" applyBorder="1" applyAlignment="1">
      <alignment horizontal="center"/>
    </xf>
    <xf numFmtId="49" fontId="11" fillId="17" borderId="6" xfId="7" applyNumberFormat="1" applyFont="1" applyFill="1" applyBorder="1" applyAlignment="1">
      <alignment horizontal="center"/>
    </xf>
    <xf numFmtId="0" fontId="11" fillId="0" borderId="5" xfId="7" applyFont="1" applyFill="1" applyBorder="1" applyAlignment="1">
      <alignment horizontal="center"/>
    </xf>
    <xf numFmtId="0" fontId="11" fillId="0" borderId="5" xfId="7" applyFill="1" applyBorder="1" applyAlignment="1">
      <alignment horizontal="center"/>
    </xf>
    <xf numFmtId="49" fontId="11" fillId="17" borderId="7" xfId="7" applyNumberFormat="1" applyFont="1" applyFill="1" applyBorder="1" applyAlignment="1">
      <alignment horizontal="center"/>
    </xf>
    <xf numFmtId="0" fontId="11" fillId="0" borderId="3" xfId="7" applyBorder="1"/>
    <xf numFmtId="0" fontId="13" fillId="0" borderId="3" xfId="7" applyFont="1" applyFill="1" applyBorder="1" applyAlignment="1">
      <alignment horizontal="center"/>
    </xf>
    <xf numFmtId="0" fontId="11" fillId="0" borderId="4" xfId="7" applyBorder="1"/>
    <xf numFmtId="0" fontId="12" fillId="17" borderId="10" xfId="7" applyFont="1" applyFill="1" applyBorder="1" applyAlignment="1">
      <alignment horizontal="center"/>
    </xf>
    <xf numFmtId="49" fontId="11" fillId="17" borderId="11" xfId="7" applyNumberFormat="1" applyFill="1" applyBorder="1" applyAlignment="1">
      <alignment horizontal="center"/>
    </xf>
    <xf numFmtId="0" fontId="11" fillId="17" borderId="10" xfId="7" applyFont="1" applyFill="1" applyBorder="1" applyAlignment="1">
      <alignment horizontal="center"/>
    </xf>
    <xf numFmtId="49" fontId="11" fillId="17" borderId="11" xfId="7" applyNumberFormat="1" applyFont="1" applyFill="1" applyBorder="1" applyAlignment="1">
      <alignment horizontal="center"/>
    </xf>
    <xf numFmtId="0" fontId="16" fillId="17" borderId="10" xfId="7" applyFont="1" applyFill="1" applyBorder="1" applyAlignment="1">
      <alignment horizontal="center"/>
    </xf>
    <xf numFmtId="49" fontId="11" fillId="17" borderId="2" xfId="7" applyNumberFormat="1" applyFont="1" applyFill="1" applyBorder="1" applyAlignment="1">
      <alignment horizontal="center"/>
    </xf>
    <xf numFmtId="0" fontId="11" fillId="11" borderId="3" xfId="7" applyFill="1" applyBorder="1"/>
    <xf numFmtId="0" fontId="11" fillId="11" borderId="4" xfId="7" applyFill="1" applyBorder="1"/>
    <xf numFmtId="0" fontId="15" fillId="11" borderId="3" xfId="7" applyFont="1" applyFill="1" applyBorder="1" applyAlignment="1">
      <alignment horizontal="center"/>
    </xf>
    <xf numFmtId="0" fontId="17" fillId="17" borderId="10" xfId="7" applyFont="1" applyFill="1" applyBorder="1" applyAlignment="1">
      <alignment horizontal="center"/>
    </xf>
    <xf numFmtId="49" fontId="0" fillId="17" borderId="11" xfId="0" applyNumberFormat="1" applyFill="1" applyBorder="1" applyAlignment="1">
      <alignment horizontal="center"/>
    </xf>
    <xf numFmtId="0" fontId="0" fillId="0" borderId="8" xfId="0" applyFill="1" applyBorder="1"/>
    <xf numFmtId="0" fontId="0" fillId="0" borderId="9" xfId="0" applyFill="1" applyBorder="1"/>
    <xf numFmtId="0" fontId="0" fillId="13" borderId="8" xfId="0" applyFill="1" applyBorder="1"/>
    <xf numFmtId="0" fontId="22" fillId="13" borderId="8" xfId="0" applyFont="1" applyFill="1" applyBorder="1" applyAlignment="1">
      <alignment horizontal="center"/>
    </xf>
    <xf numFmtId="0" fontId="0" fillId="11" borderId="3" xfId="0" applyFill="1" applyBorder="1"/>
    <xf numFmtId="0" fontId="26" fillId="11" borderId="3" xfId="7" applyFont="1" applyFill="1" applyBorder="1" applyAlignment="1">
      <alignment horizontal="center"/>
    </xf>
    <xf numFmtId="0" fontId="0" fillId="13" borderId="9" xfId="0" applyFill="1" applyBorder="1"/>
    <xf numFmtId="0" fontId="27" fillId="11" borderId="3" xfId="7" applyFont="1" applyFill="1" applyBorder="1" applyAlignment="1">
      <alignment horizontal="center"/>
    </xf>
    <xf numFmtId="0" fontId="11" fillId="13" borderId="8" xfId="7" applyFill="1" applyBorder="1"/>
    <xf numFmtId="0" fontId="25" fillId="13" borderId="8" xfId="7" applyFont="1" applyFill="1" applyBorder="1" applyAlignment="1">
      <alignment horizontal="center"/>
    </xf>
    <xf numFmtId="0" fontId="11" fillId="0" borderId="0" xfId="7" applyNumberFormat="1" applyFont="1" applyAlignment="1">
      <alignment horizontal="center"/>
    </xf>
    <xf numFmtId="0" fontId="11" fillId="17" borderId="11" xfId="7" applyNumberFormat="1" applyFill="1" applyBorder="1" applyAlignment="1">
      <alignment horizontal="center"/>
    </xf>
    <xf numFmtId="0" fontId="0" fillId="0" borderId="3" xfId="0" applyFill="1" applyBorder="1"/>
    <xf numFmtId="0" fontId="28" fillId="14" borderId="2" xfId="0" applyFont="1" applyFill="1" applyBorder="1"/>
    <xf numFmtId="0" fontId="1" fillId="15" borderId="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15" borderId="7" xfId="0" applyFont="1" applyFill="1" applyBorder="1" applyAlignment="1">
      <alignment horizontal="center"/>
    </xf>
    <xf numFmtId="0" fontId="11" fillId="12" borderId="8" xfId="7" applyFill="1" applyBorder="1"/>
    <xf numFmtId="14" fontId="11" fillId="0" borderId="0" xfId="7" applyNumberFormat="1"/>
    <xf numFmtId="2" fontId="11" fillId="0" borderId="0" xfId="7" applyNumberFormat="1"/>
    <xf numFmtId="0" fontId="11" fillId="0" borderId="0" xfId="7" applyAlignment="1">
      <alignment horizontal="center"/>
    </xf>
    <xf numFmtId="0" fontId="0" fillId="0" borderId="0" xfId="0" applyBorder="1"/>
    <xf numFmtId="0" fontId="11" fillId="18" borderId="9" xfId="7" applyFill="1" applyBorder="1"/>
    <xf numFmtId="0" fontId="26" fillId="0" borderId="8" xfId="7" applyFont="1" applyFill="1" applyBorder="1" applyAlignment="1">
      <alignment horizontal="center"/>
    </xf>
    <xf numFmtId="0" fontId="21" fillId="0" borderId="8" xfId="0" applyFont="1" applyFill="1" applyBorder="1" applyAlignment="1">
      <alignment horizontal="center"/>
    </xf>
    <xf numFmtId="0" fontId="25" fillId="0" borderId="3" xfId="7" applyFont="1" applyFill="1" applyBorder="1" applyAlignment="1">
      <alignment horizontal="center"/>
    </xf>
    <xf numFmtId="0" fontId="15" fillId="0" borderId="8" xfId="7" applyFont="1" applyFill="1" applyBorder="1" applyAlignment="1">
      <alignment horizontal="center"/>
    </xf>
    <xf numFmtId="0" fontId="23" fillId="0" borderId="3" xfId="7" applyFont="1" applyFill="1" applyBorder="1" applyAlignment="1">
      <alignment horizontal="center"/>
    </xf>
    <xf numFmtId="0" fontId="25" fillId="0" borderId="8" xfId="7" applyFont="1" applyFill="1" applyBorder="1" applyAlignment="1">
      <alignment horizontal="center"/>
    </xf>
    <xf numFmtId="0" fontId="11" fillId="15" borderId="8" xfId="7" applyNumberFormat="1" applyFont="1" applyFill="1" applyBorder="1" applyAlignment="1">
      <alignment horizontal="center"/>
    </xf>
    <xf numFmtId="0" fontId="1" fillId="15" borderId="0" xfId="0" applyFont="1" applyFill="1" applyBorder="1" applyAlignment="1">
      <alignment horizontal="center"/>
    </xf>
    <xf numFmtId="0" fontId="1" fillId="15" borderId="6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15" borderId="8" xfId="0" applyFont="1" applyFill="1" applyBorder="1" applyAlignment="1">
      <alignment horizontal="center"/>
    </xf>
    <xf numFmtId="0" fontId="1" fillId="15" borderId="9" xfId="0" applyFont="1" applyFill="1" applyBorder="1" applyAlignment="1">
      <alignment horizontal="center"/>
    </xf>
    <xf numFmtId="0" fontId="23" fillId="14" borderId="3" xfId="7" applyNumberFormat="1" applyFont="1" applyFill="1" applyBorder="1" applyAlignment="1">
      <alignment horizontal="center"/>
    </xf>
    <xf numFmtId="0" fontId="11" fillId="15" borderId="0" xfId="7" applyNumberFormat="1" applyFont="1" applyFill="1" applyBorder="1" applyAlignment="1">
      <alignment horizontal="center"/>
    </xf>
    <xf numFmtId="0" fontId="11" fillId="0" borderId="0" xfId="7" applyNumberFormat="1" applyFont="1" applyBorder="1" applyAlignment="1">
      <alignment horizontal="center"/>
    </xf>
    <xf numFmtId="0" fontId="28" fillId="14" borderId="3" xfId="0" applyFont="1" applyFill="1" applyBorder="1" applyAlignment="1">
      <alignment horizontal="center"/>
    </xf>
    <xf numFmtId="0" fontId="28" fillId="14" borderId="4" xfId="0" applyFont="1" applyFill="1" applyBorder="1" applyAlignment="1">
      <alignment horizontal="center"/>
    </xf>
  </cellXfs>
  <cellStyles count="19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Excel Built-in Normal" xfId="7" xr:uid="{00000000-0005-0000-0000-000006000000}"/>
    <cellStyle name="Footnote" xfId="8" xr:uid="{00000000-0005-0000-0000-000007000000}"/>
    <cellStyle name="Good" xfId="9" xr:uid="{00000000-0005-0000-0000-000008000000}"/>
    <cellStyle name="Heading" xfId="10" xr:uid="{00000000-0005-0000-0000-000009000000}"/>
    <cellStyle name="Heading 1" xfId="11" xr:uid="{00000000-0005-0000-0000-00000A000000}"/>
    <cellStyle name="Heading 2" xfId="12" xr:uid="{00000000-0005-0000-0000-00000B000000}"/>
    <cellStyle name="Hyperlink" xfId="13" xr:uid="{00000000-0005-0000-0000-00000C000000}"/>
    <cellStyle name="Neutral" xfId="14" xr:uid="{00000000-0005-0000-0000-00000D000000}"/>
    <cellStyle name="Normalny" xfId="0" builtinId="0"/>
    <cellStyle name="Note" xfId="15" xr:uid="{00000000-0005-0000-0000-00000F000000}"/>
    <cellStyle name="Status" xfId="16" xr:uid="{00000000-0005-0000-0000-000010000000}"/>
    <cellStyle name="Text" xfId="17" xr:uid="{00000000-0005-0000-0000-000011000000}"/>
    <cellStyle name="Warning" xfId="18" xr:uid="{00000000-0005-0000-0000-00001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CC00"/>
      <rgbColor rgb="000000FF"/>
      <rgbColor rgb="00FFFF00"/>
      <rgbColor rgb="00FF00FF"/>
      <rgbColor rgb="0000FFFF"/>
      <rgbColor rgb="00C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70C0"/>
      <rgbColor rgb="00DDDDDD"/>
      <rgbColor rgb="00000080"/>
      <rgbColor rgb="00FF00FF"/>
      <rgbColor rgb="00FFFF00"/>
      <rgbColor rgb="0000FFFF"/>
      <rgbColor rgb="00800080"/>
      <rgbColor rgb="00CC0000"/>
      <rgbColor rgb="00008080"/>
      <rgbColor rgb="000000EE"/>
      <rgbColor rgb="0000CCFF"/>
      <rgbColor rgb="00CCFFFF"/>
      <rgbColor rgb="00CCFFCC"/>
      <rgbColor rgb="00FFFF99"/>
      <rgbColor rgb="0099CCFF"/>
      <rgbColor rgb="00FF99CC"/>
      <rgbColor rgb="00CC99FF"/>
      <rgbColor rgb="00FFCCCC"/>
      <rgbColor rgb="004472C4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</indexedColors>
    <mruColors>
      <color rgb="FF800000"/>
      <color rgb="FFFFCC00"/>
      <color rgb="FF0066CC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219075</xdr:colOff>
      <xdr:row>27</xdr:row>
      <xdr:rowOff>19049</xdr:rowOff>
    </xdr:from>
    <xdr:to>
      <xdr:col>13</xdr:col>
      <xdr:colOff>571500</xdr:colOff>
      <xdr:row>28</xdr:row>
      <xdr:rowOff>180974</xdr:rowOff>
    </xdr:to>
    <xdr:pic macro="[0]!odswiez">
      <xdr:nvPicPr>
        <xdr:cNvPr id="3" name="Grafika 2" descr="Powtarzanie">
          <a:extLst>
            <a:ext uri="{FF2B5EF4-FFF2-40B4-BE49-F238E27FC236}">
              <a16:creationId xmlns:a16="http://schemas.microsoft.com/office/drawing/2014/main" id="{7A1D594B-252A-4540-AA10-8345CB74C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44150" y="5162549"/>
          <a:ext cx="352425" cy="3524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0</xdr:row>
      <xdr:rowOff>0</xdr:rowOff>
    </xdr:from>
    <xdr:to>
      <xdr:col>2</xdr:col>
      <xdr:colOff>590551</xdr:colOff>
      <xdr:row>2</xdr:row>
      <xdr:rowOff>38100</xdr:rowOff>
    </xdr:to>
    <xdr:pic macro="[0]!dni_miesiaca">
      <xdr:nvPicPr>
        <xdr:cNvPr id="4" name="Grafika 3" descr="Kalendarz miesięczny">
          <a:extLst>
            <a:ext uri="{FF2B5EF4-FFF2-40B4-BE49-F238E27FC236}">
              <a16:creationId xmlns:a16="http://schemas.microsoft.com/office/drawing/2014/main" id="{16B12FF6-FFCE-4BA5-8E64-301299724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8801" y="0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200025</xdr:colOff>
      <xdr:row>27</xdr:row>
      <xdr:rowOff>19050</xdr:rowOff>
    </xdr:from>
    <xdr:to>
      <xdr:col>13</xdr:col>
      <xdr:colOff>552450</xdr:colOff>
      <xdr:row>28</xdr:row>
      <xdr:rowOff>180975</xdr:rowOff>
    </xdr:to>
    <xdr:pic macro="[0]!odswiez">
      <xdr:nvPicPr>
        <xdr:cNvPr id="2" name="Grafika 1" descr="Powtarzanie">
          <a:extLst>
            <a:ext uri="{FF2B5EF4-FFF2-40B4-BE49-F238E27FC236}">
              <a16:creationId xmlns:a16="http://schemas.microsoft.com/office/drawing/2014/main" id="{CBC3E525-D012-4A1A-BE32-26A45626A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44150" y="5162550"/>
          <a:ext cx="352425" cy="352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200025</xdr:colOff>
      <xdr:row>27</xdr:row>
      <xdr:rowOff>28575</xdr:rowOff>
    </xdr:from>
    <xdr:to>
      <xdr:col>13</xdr:col>
      <xdr:colOff>552450</xdr:colOff>
      <xdr:row>29</xdr:row>
      <xdr:rowOff>0</xdr:rowOff>
    </xdr:to>
    <xdr:pic macro="[0]!odswiez">
      <xdr:nvPicPr>
        <xdr:cNvPr id="2" name="Grafika 1" descr="Powtarzanie">
          <a:extLst>
            <a:ext uri="{FF2B5EF4-FFF2-40B4-BE49-F238E27FC236}">
              <a16:creationId xmlns:a16="http://schemas.microsoft.com/office/drawing/2014/main" id="{A35A6678-95A1-4C24-BA1A-D5CE8C6A1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44150" y="5172075"/>
          <a:ext cx="352425" cy="352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219075</xdr:colOff>
      <xdr:row>27</xdr:row>
      <xdr:rowOff>19050</xdr:rowOff>
    </xdr:from>
    <xdr:to>
      <xdr:col>13</xdr:col>
      <xdr:colOff>571500</xdr:colOff>
      <xdr:row>28</xdr:row>
      <xdr:rowOff>180975</xdr:rowOff>
    </xdr:to>
    <xdr:pic macro="[0]!odswiez">
      <xdr:nvPicPr>
        <xdr:cNvPr id="2" name="Grafika 1" descr="Powtarzanie">
          <a:extLst>
            <a:ext uri="{FF2B5EF4-FFF2-40B4-BE49-F238E27FC236}">
              <a16:creationId xmlns:a16="http://schemas.microsoft.com/office/drawing/2014/main" id="{10F5F159-1137-4D1B-8119-C49F59D55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06050" y="5105400"/>
          <a:ext cx="352425" cy="352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228600</xdr:colOff>
      <xdr:row>32</xdr:row>
      <xdr:rowOff>9525</xdr:rowOff>
    </xdr:from>
    <xdr:to>
      <xdr:col>13</xdr:col>
      <xdr:colOff>581025</xdr:colOff>
      <xdr:row>33</xdr:row>
      <xdr:rowOff>171450</xdr:rowOff>
    </xdr:to>
    <xdr:pic macro="[0]!odswiez">
      <xdr:nvPicPr>
        <xdr:cNvPr id="2" name="Grafika 1" descr="Powtarzanie">
          <a:extLst>
            <a:ext uri="{FF2B5EF4-FFF2-40B4-BE49-F238E27FC236}">
              <a16:creationId xmlns:a16="http://schemas.microsoft.com/office/drawing/2014/main" id="{9300D99D-6341-483D-94D9-863D09A24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72725" y="5934075"/>
          <a:ext cx="352425" cy="352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26F7C-3809-4522-9685-C995F291E001}">
  <sheetPr codeName="tydz_1">
    <tabColor rgb="FF7030A0"/>
    <pageSetUpPr fitToPage="1"/>
  </sheetPr>
  <dimension ref="A1:P53"/>
  <sheetViews>
    <sheetView topLeftCell="A5" zoomScaleNormal="100" workbookViewId="0">
      <selection activeCell="D30" sqref="D30:D32"/>
    </sheetView>
  </sheetViews>
  <sheetFormatPr defaultColWidth="11.5703125" defaultRowHeight="12.75"/>
  <cols>
    <col min="1" max="2" width="12.42578125" bestFit="1" customWidth="1"/>
    <col min="13" max="13" width="11.28515625" customWidth="1"/>
    <col min="15" max="15" width="12.28515625" customWidth="1"/>
    <col min="16" max="16" width="18.85546875" bestFit="1" customWidth="1"/>
    <col min="17" max="17" width="16.7109375" customWidth="1"/>
    <col min="18" max="18" width="10.28515625" customWidth="1"/>
    <col min="19" max="19" width="10.5703125" customWidth="1"/>
  </cols>
  <sheetData>
    <row r="1" spans="1:16" ht="15">
      <c r="A1" s="93" t="s">
        <v>27</v>
      </c>
      <c r="B1" s="93" t="s">
        <v>26</v>
      </c>
      <c r="C1" s="1"/>
      <c r="D1" s="91"/>
      <c r="E1" s="91"/>
      <c r="F1" s="91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>
        <v>2021</v>
      </c>
      <c r="B2" s="5" t="s">
        <v>32</v>
      </c>
      <c r="C2" s="2"/>
      <c r="D2" s="9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15"/>
      <c r="B4" s="67" t="s">
        <v>0</v>
      </c>
      <c r="C4" s="52" t="s">
        <v>1</v>
      </c>
      <c r="D4" s="52" t="s">
        <v>2</v>
      </c>
      <c r="E4" s="52" t="s">
        <v>3</v>
      </c>
      <c r="F4" s="52" t="s">
        <v>4</v>
      </c>
      <c r="G4" s="52" t="s">
        <v>5</v>
      </c>
      <c r="H4" s="52" t="s">
        <v>6</v>
      </c>
      <c r="I4" s="52" t="s">
        <v>7</v>
      </c>
      <c r="J4" s="52" t="s">
        <v>8</v>
      </c>
      <c r="K4" s="52" t="s">
        <v>9</v>
      </c>
      <c r="L4" s="52" t="s">
        <v>10</v>
      </c>
      <c r="M4" s="53" t="s">
        <v>11</v>
      </c>
      <c r="O4" s="1"/>
      <c r="P4" s="1"/>
    </row>
    <row r="5" spans="1:16" ht="15">
      <c r="A5" s="16"/>
      <c r="B5" s="58"/>
      <c r="C5" s="54"/>
      <c r="D5" s="54"/>
      <c r="E5" s="54"/>
      <c r="F5" s="54"/>
      <c r="G5" s="54"/>
      <c r="H5" s="54"/>
      <c r="I5" s="54"/>
      <c r="J5" s="54"/>
      <c r="K5" s="54"/>
      <c r="L5" s="54"/>
      <c r="M5" s="55"/>
      <c r="O5" s="1"/>
      <c r="P5" s="1"/>
    </row>
    <row r="6" spans="1:16" ht="15">
      <c r="A6" s="62" t="s">
        <v>12</v>
      </c>
      <c r="B6" s="34"/>
      <c r="C6" s="34"/>
      <c r="D6" s="34"/>
      <c r="E6" s="34"/>
      <c r="F6" s="34"/>
      <c r="G6" s="100"/>
      <c r="H6" s="34"/>
      <c r="I6" s="34"/>
      <c r="J6" s="85"/>
      <c r="K6" s="85"/>
      <c r="L6" s="34"/>
      <c r="M6" s="37"/>
      <c r="O6" s="1"/>
      <c r="P6" s="3"/>
    </row>
    <row r="7" spans="1:16" ht="15">
      <c r="A7" s="84"/>
      <c r="B7" s="23"/>
      <c r="C7" s="23"/>
      <c r="D7" s="23"/>
      <c r="E7" s="23"/>
      <c r="F7" s="23"/>
      <c r="G7" s="101"/>
      <c r="H7" s="23"/>
      <c r="I7" s="23"/>
      <c r="J7" s="23"/>
      <c r="K7" s="23"/>
      <c r="L7" s="23"/>
      <c r="M7" s="25"/>
      <c r="O7" s="1"/>
      <c r="P7" s="1"/>
    </row>
    <row r="8" spans="1:16" ht="15">
      <c r="A8" s="57"/>
      <c r="B8" s="10"/>
      <c r="C8" s="10"/>
      <c r="D8" s="10"/>
      <c r="E8" s="10"/>
      <c r="F8" s="11"/>
      <c r="G8" s="10"/>
      <c r="H8" s="10"/>
      <c r="I8" s="10"/>
      <c r="J8" s="10"/>
      <c r="K8" s="10"/>
      <c r="L8" s="10"/>
      <c r="M8" s="17"/>
      <c r="O8" s="1"/>
      <c r="P8" s="5"/>
    </row>
    <row r="9" spans="1:16" ht="15">
      <c r="A9" s="64" t="s">
        <v>17</v>
      </c>
      <c r="B9" s="34"/>
      <c r="C9" s="34"/>
      <c r="D9" s="34"/>
      <c r="E9" s="34"/>
      <c r="F9" s="34"/>
      <c r="G9" s="98"/>
      <c r="H9" s="34"/>
      <c r="I9" s="34"/>
      <c r="J9" s="85"/>
      <c r="K9" s="85"/>
      <c r="L9" s="34"/>
      <c r="M9" s="37"/>
      <c r="O9" s="1"/>
      <c r="P9" s="5"/>
    </row>
    <row r="10" spans="1:16" ht="15">
      <c r="A10" s="63">
        <v>1</v>
      </c>
      <c r="B10" s="23"/>
      <c r="C10" s="23"/>
      <c r="D10" s="23"/>
      <c r="E10" s="23"/>
      <c r="F10" s="23"/>
      <c r="G10" s="96"/>
      <c r="H10" s="99"/>
      <c r="I10" s="23"/>
      <c r="J10" s="23"/>
      <c r="K10" s="23"/>
      <c r="L10" s="23"/>
      <c r="M10" s="25"/>
      <c r="O10" s="1"/>
      <c r="P10" s="5"/>
    </row>
    <row r="11" spans="1:16" ht="15">
      <c r="A11" s="57"/>
      <c r="B11" s="10"/>
      <c r="C11" s="10"/>
      <c r="D11" s="10"/>
      <c r="E11" s="10"/>
      <c r="F11" s="11"/>
      <c r="G11" s="10"/>
      <c r="H11" s="10"/>
      <c r="I11" s="10"/>
      <c r="J11" s="10"/>
      <c r="K11" s="10"/>
      <c r="L11" s="10"/>
      <c r="M11" s="17"/>
      <c r="O11" s="1"/>
      <c r="P11" s="5"/>
    </row>
    <row r="12" spans="1:16" ht="15">
      <c r="A12" s="64" t="s">
        <v>18</v>
      </c>
      <c r="B12" s="34"/>
      <c r="C12" s="34"/>
      <c r="D12" s="34"/>
      <c r="E12" s="34"/>
      <c r="F12" s="34"/>
      <c r="G12" s="60"/>
      <c r="H12" s="34"/>
      <c r="I12" s="34"/>
      <c r="J12" s="34"/>
      <c r="K12" s="34"/>
      <c r="L12" s="34"/>
      <c r="M12" s="37"/>
      <c r="O12" s="4"/>
      <c r="P12" s="5"/>
    </row>
    <row r="13" spans="1:16" ht="15">
      <c r="A13" s="65">
        <v>2</v>
      </c>
      <c r="B13" s="73"/>
      <c r="C13" s="73"/>
      <c r="D13" s="73"/>
      <c r="E13" s="73"/>
      <c r="F13" s="73"/>
      <c r="G13" s="97"/>
      <c r="H13" s="97"/>
      <c r="I13" s="73"/>
      <c r="J13" s="73"/>
      <c r="K13" s="73"/>
      <c r="L13" s="73"/>
      <c r="M13" s="74"/>
    </row>
    <row r="14" spans="1:16" ht="15">
      <c r="A14" s="56"/>
      <c r="B14" s="10"/>
      <c r="C14" s="10"/>
      <c r="D14" s="10"/>
      <c r="E14" s="10"/>
      <c r="F14" s="11"/>
      <c r="G14" s="10"/>
      <c r="H14" s="10"/>
      <c r="I14" s="10"/>
      <c r="J14" s="10"/>
      <c r="K14" s="10"/>
      <c r="L14" s="10"/>
      <c r="M14" s="17"/>
    </row>
    <row r="15" spans="1:16" ht="15">
      <c r="A15" s="64" t="s">
        <v>19</v>
      </c>
      <c r="B15" s="34"/>
      <c r="C15" s="34"/>
      <c r="D15" s="34"/>
      <c r="E15" s="34"/>
      <c r="F15" s="34"/>
      <c r="G15" s="60"/>
      <c r="H15" s="34"/>
      <c r="I15" s="34"/>
      <c r="J15" s="34"/>
      <c r="K15" s="34"/>
      <c r="L15" s="34"/>
      <c r="M15" s="37"/>
    </row>
    <row r="16" spans="1:16" ht="15">
      <c r="A16" s="65">
        <v>3</v>
      </c>
      <c r="B16" s="23"/>
      <c r="C16" s="23"/>
      <c r="D16" s="23"/>
      <c r="E16" s="23"/>
      <c r="F16" s="23"/>
      <c r="G16" s="96"/>
      <c r="H16" s="23"/>
      <c r="I16" s="23"/>
      <c r="J16" s="23"/>
      <c r="K16" s="23"/>
      <c r="L16" s="23"/>
      <c r="M16" s="25"/>
    </row>
    <row r="17" spans="1:16" ht="15">
      <c r="A17" s="56"/>
      <c r="B17" s="10"/>
      <c r="C17" s="10"/>
      <c r="D17" s="10"/>
      <c r="E17" s="10"/>
      <c r="F17" s="11"/>
      <c r="G17" s="10"/>
      <c r="H17" s="10"/>
      <c r="I17" s="10"/>
      <c r="J17" s="10"/>
      <c r="K17" s="10"/>
      <c r="L17" s="10"/>
      <c r="M17" s="17"/>
      <c r="O17" s="1"/>
      <c r="P17" s="5"/>
    </row>
    <row r="18" spans="1:16" ht="15">
      <c r="A18" s="64" t="s">
        <v>20</v>
      </c>
      <c r="B18" s="31"/>
      <c r="C18" s="31"/>
      <c r="D18" s="31"/>
      <c r="E18" s="31"/>
      <c r="F18" s="31"/>
      <c r="G18" s="32" t="s">
        <v>16</v>
      </c>
      <c r="H18" s="31"/>
      <c r="I18" s="31"/>
      <c r="J18" s="31"/>
      <c r="K18" s="31"/>
      <c r="L18" s="31"/>
      <c r="M18" s="33"/>
      <c r="O18" s="1"/>
      <c r="P18" s="5"/>
    </row>
    <row r="19" spans="1:16" ht="15">
      <c r="A19" s="63">
        <v>4</v>
      </c>
      <c r="B19" s="23"/>
      <c r="C19" s="23"/>
      <c r="D19" s="23"/>
      <c r="E19" s="23"/>
      <c r="F19" s="23"/>
      <c r="G19" s="24"/>
      <c r="H19" s="23"/>
      <c r="I19" s="23"/>
      <c r="J19" s="23"/>
      <c r="K19" s="23"/>
      <c r="L19" s="23"/>
      <c r="M19" s="25"/>
      <c r="O19" s="1"/>
      <c r="P19" s="5"/>
    </row>
    <row r="20" spans="1:16" ht="15">
      <c r="A20" s="57"/>
      <c r="B20" s="10"/>
      <c r="C20" s="10"/>
      <c r="D20" s="10"/>
      <c r="E20" s="10"/>
      <c r="F20" s="11"/>
      <c r="G20" s="10"/>
      <c r="H20" s="10"/>
      <c r="I20" s="10"/>
      <c r="J20" s="10"/>
      <c r="K20" s="10"/>
      <c r="L20" s="10"/>
      <c r="M20" s="17"/>
      <c r="O20" s="1"/>
      <c r="P20" s="5"/>
    </row>
    <row r="21" spans="1:16" ht="15">
      <c r="A21" s="66" t="s">
        <v>21</v>
      </c>
      <c r="B21" s="68"/>
      <c r="C21" s="68"/>
      <c r="D21" s="68"/>
      <c r="E21" s="68"/>
      <c r="F21" s="68"/>
      <c r="G21" s="80" t="s">
        <v>15</v>
      </c>
      <c r="H21" s="70"/>
      <c r="I21" s="68"/>
      <c r="J21" s="68"/>
      <c r="K21" s="68"/>
      <c r="L21" s="68"/>
      <c r="M21" s="37"/>
      <c r="O21" s="4"/>
      <c r="P21" s="5"/>
    </row>
    <row r="22" spans="1:16" ht="15">
      <c r="A22" s="63">
        <v>5</v>
      </c>
      <c r="B22" s="75"/>
      <c r="C22" s="75"/>
      <c r="D22" s="75"/>
      <c r="E22" s="75"/>
      <c r="F22" s="75"/>
      <c r="G22" s="76" t="s">
        <v>16</v>
      </c>
      <c r="H22" s="75"/>
      <c r="I22" s="75"/>
      <c r="J22" s="75"/>
      <c r="K22" s="73"/>
      <c r="L22" s="73"/>
      <c r="M22" s="74"/>
      <c r="O22" s="4"/>
      <c r="P22" s="5"/>
    </row>
    <row r="23" spans="1:16" ht="15">
      <c r="A23" s="5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7"/>
      <c r="O23" s="1"/>
      <c r="P23" s="5"/>
    </row>
    <row r="24" spans="1:16" ht="15">
      <c r="A24" s="71" t="s">
        <v>22</v>
      </c>
      <c r="B24" s="35"/>
      <c r="C24" s="35"/>
      <c r="D24" s="35"/>
      <c r="E24" s="35"/>
      <c r="F24" s="35"/>
      <c r="G24" s="36" t="s">
        <v>13</v>
      </c>
      <c r="H24" s="35"/>
      <c r="I24" s="35"/>
      <c r="J24" s="35"/>
      <c r="K24" s="35"/>
      <c r="L24" s="35"/>
      <c r="M24" s="51"/>
      <c r="O24" s="3"/>
      <c r="P24" s="2"/>
    </row>
    <row r="25" spans="1:16" ht="15">
      <c r="A25" s="63">
        <v>6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0"/>
      <c r="O25" s="1"/>
      <c r="P25" s="1"/>
    </row>
    <row r="26" spans="1:16" ht="15">
      <c r="A26" s="3"/>
      <c r="O26" s="2"/>
      <c r="P26" s="2"/>
    </row>
    <row r="27" spans="1:16" ht="15">
      <c r="I27" s="86" t="s">
        <v>23</v>
      </c>
      <c r="J27" s="109" t="s">
        <v>24</v>
      </c>
      <c r="K27" s="109"/>
      <c r="L27" s="112" t="s">
        <v>25</v>
      </c>
      <c r="M27" s="113"/>
    </row>
    <row r="28" spans="1:16" ht="15">
      <c r="I28" s="87" t="s">
        <v>15</v>
      </c>
      <c r="J28" s="110">
        <f>LiczGodziny($B$6:$M$25,44)</f>
        <v>11</v>
      </c>
      <c r="K28" s="110"/>
      <c r="L28" s="103">
        <f>J28</f>
        <v>11</v>
      </c>
      <c r="M28" s="104"/>
    </row>
    <row r="29" spans="1:16" ht="15">
      <c r="I29" s="88" t="s">
        <v>13</v>
      </c>
      <c r="J29" s="111">
        <f>LiczGodziny($B$6:$M$25,23)</f>
        <v>12</v>
      </c>
      <c r="K29" s="111"/>
      <c r="L29" s="105">
        <f>J29</f>
        <v>12</v>
      </c>
      <c r="M29" s="106"/>
    </row>
    <row r="30" spans="1:16" ht="15">
      <c r="B30" s="12"/>
      <c r="I30" s="89" t="s">
        <v>16</v>
      </c>
      <c r="J30" s="102">
        <f>LiczGodziny($B$6:$M$25,9)</f>
        <v>21</v>
      </c>
      <c r="K30" s="102"/>
      <c r="L30" s="107">
        <f>J30</f>
        <v>21</v>
      </c>
      <c r="M30" s="108"/>
    </row>
    <row r="31" spans="1:16" ht="15">
      <c r="B31" s="13"/>
    </row>
    <row r="35" spans="1:4" ht="15">
      <c r="A35" s="13"/>
      <c r="C35" s="14"/>
    </row>
    <row r="36" spans="1:4" ht="15">
      <c r="A36" s="13"/>
    </row>
    <row r="37" spans="1:4" ht="15">
      <c r="A37" s="13"/>
    </row>
    <row r="38" spans="1:4" ht="15">
      <c r="A38" s="13"/>
    </row>
    <row r="39" spans="1:4" ht="15">
      <c r="A39" s="13"/>
    </row>
    <row r="40" spans="1:4" ht="15">
      <c r="A40" s="13"/>
    </row>
    <row r="41" spans="1:4" ht="15" hidden="1">
      <c r="A41" t="s">
        <v>34</v>
      </c>
      <c r="B41" s="83">
        <v>1</v>
      </c>
      <c r="C41">
        <f>WEEKDAY(DATE($A$2,VLOOKUP($B$2,$A$41:$B$52,2,0),1),2)</f>
        <v>2</v>
      </c>
      <c r="D41" s="12"/>
    </row>
    <row r="42" spans="1:4" ht="15" hidden="1">
      <c r="A42" t="s">
        <v>29</v>
      </c>
      <c r="B42" s="83">
        <v>2</v>
      </c>
    </row>
    <row r="43" spans="1:4" ht="15" hidden="1">
      <c r="A43" t="s">
        <v>30</v>
      </c>
      <c r="B43" s="83">
        <v>3</v>
      </c>
    </row>
    <row r="44" spans="1:4" ht="15" hidden="1">
      <c r="A44" t="s">
        <v>31</v>
      </c>
      <c r="B44" s="83">
        <v>4</v>
      </c>
    </row>
    <row r="45" spans="1:4" ht="15" hidden="1">
      <c r="A45" t="s">
        <v>28</v>
      </c>
      <c r="B45" s="83">
        <v>5</v>
      </c>
    </row>
    <row r="46" spans="1:4" ht="15" hidden="1">
      <c r="A46" t="s">
        <v>32</v>
      </c>
      <c r="B46" s="83">
        <v>6</v>
      </c>
    </row>
    <row r="47" spans="1:4" ht="15" hidden="1">
      <c r="A47" t="s">
        <v>33</v>
      </c>
      <c r="B47" s="83">
        <v>7</v>
      </c>
    </row>
    <row r="48" spans="1:4" ht="15" hidden="1">
      <c r="A48" t="s">
        <v>35</v>
      </c>
      <c r="B48" s="83">
        <v>8</v>
      </c>
    </row>
    <row r="49" spans="1:2" ht="15" hidden="1">
      <c r="A49" t="s">
        <v>36</v>
      </c>
      <c r="B49" s="83">
        <v>9</v>
      </c>
    </row>
    <row r="50" spans="1:2" ht="15" hidden="1">
      <c r="A50" t="s">
        <v>37</v>
      </c>
      <c r="B50" s="83">
        <v>10</v>
      </c>
    </row>
    <row r="51" spans="1:2" ht="15" hidden="1">
      <c r="A51" t="s">
        <v>38</v>
      </c>
      <c r="B51" s="83">
        <v>11</v>
      </c>
    </row>
    <row r="52" spans="1:2" ht="15" hidden="1">
      <c r="A52" t="s">
        <v>39</v>
      </c>
      <c r="B52" s="83">
        <v>12</v>
      </c>
    </row>
    <row r="53" spans="1:2" hidden="1">
      <c r="A53" t="s">
        <v>34</v>
      </c>
    </row>
  </sheetData>
  <sheetProtection selectLockedCells="1" selectUnlockedCells="1"/>
  <mergeCells count="8">
    <mergeCell ref="J30:K30"/>
    <mergeCell ref="L28:M28"/>
    <mergeCell ref="L29:M29"/>
    <mergeCell ref="L30:M30"/>
    <mergeCell ref="J27:K27"/>
    <mergeCell ref="J28:K28"/>
    <mergeCell ref="J29:K29"/>
    <mergeCell ref="L27:M27"/>
  </mergeCells>
  <phoneticPr fontId="24" type="noConversion"/>
  <dataValidations count="1">
    <dataValidation type="list" allowBlank="1" showInputMessage="1" showErrorMessage="1" sqref="B2" xr:uid="{7461A617-7FB3-497F-9C22-143CB050F858}">
      <formula1>$A$41:$A$52</formula1>
    </dataValidation>
  </dataValidations>
  <pageMargins left="0.78749999999999998" right="0.78749999999999998" top="1.0249999999999999" bottom="1.0249999999999999" header="0.78749999999999998" footer="0.78749999999999998"/>
  <pageSetup paperSize="9" scale="86" firstPageNumber="0" fitToHeight="0" orientation="landscape" horizontalDpi="300" verticalDpi="300" r:id="rId1"/>
  <headerFooter alignWithMargins="0">
    <oddHeader>&amp;C&amp;A</oddHeader>
    <oddFooter>&amp;CStrona &amp;P</oddFooter>
  </headerFooter>
  <ignoredErrors>
    <ignoredError sqref="E4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BB96-E86E-455F-AA14-D3D9909B518D}">
  <sheetPr codeName="tydz_2">
    <tabColor indexed="11"/>
    <pageSetUpPr fitToPage="1"/>
  </sheetPr>
  <dimension ref="A1:P31"/>
  <sheetViews>
    <sheetView zoomScaleNormal="100" workbookViewId="0">
      <selection activeCell="F29" sqref="F29"/>
    </sheetView>
  </sheetViews>
  <sheetFormatPr defaultColWidth="11.5703125" defaultRowHeight="12.75"/>
  <cols>
    <col min="1" max="2" width="12.42578125" bestFit="1" customWidth="1"/>
    <col min="17" max="17" width="16.7109375" customWidth="1"/>
    <col min="18" max="18" width="18.85546875" bestFit="1" customWidth="1"/>
    <col min="19" max="19" width="19.5703125" bestFit="1" customWidth="1"/>
  </cols>
  <sheetData>
    <row r="1" spans="1:16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/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15"/>
      <c r="B4" s="67" t="s">
        <v>0</v>
      </c>
      <c r="C4" s="52" t="s">
        <v>1</v>
      </c>
      <c r="D4" s="52" t="s">
        <v>2</v>
      </c>
      <c r="E4" s="52" t="s">
        <v>3</v>
      </c>
      <c r="F4" s="52" t="s">
        <v>4</v>
      </c>
      <c r="G4" s="52" t="s">
        <v>5</v>
      </c>
      <c r="H4" s="52" t="s">
        <v>6</v>
      </c>
      <c r="I4" s="52" t="s">
        <v>7</v>
      </c>
      <c r="J4" s="52" t="s">
        <v>8</v>
      </c>
      <c r="K4" s="52" t="s">
        <v>9</v>
      </c>
      <c r="L4" s="52" t="s">
        <v>10</v>
      </c>
      <c r="M4" s="53" t="s">
        <v>11</v>
      </c>
      <c r="O4" s="1"/>
      <c r="P4" s="1"/>
    </row>
    <row r="5" spans="1:16" ht="15">
      <c r="A5" s="16"/>
      <c r="B5" s="58"/>
      <c r="C5" s="54"/>
      <c r="D5" s="54"/>
      <c r="E5" s="54"/>
      <c r="F5" s="54"/>
      <c r="G5" s="54"/>
      <c r="H5" s="54"/>
      <c r="I5" s="54"/>
      <c r="J5" s="54"/>
      <c r="K5" s="54"/>
      <c r="L5" s="54"/>
      <c r="M5" s="55"/>
      <c r="O5" s="1"/>
      <c r="P5" s="1"/>
    </row>
    <row r="6" spans="1:16" ht="15">
      <c r="A6" s="62" t="s">
        <v>12</v>
      </c>
      <c r="B6" s="35"/>
      <c r="C6" s="35"/>
      <c r="D6" s="35"/>
      <c r="E6" s="35"/>
      <c r="F6" s="35"/>
      <c r="G6" s="36" t="s">
        <v>13</v>
      </c>
      <c r="H6" s="35"/>
      <c r="I6" s="35"/>
      <c r="J6" s="27"/>
      <c r="K6" s="27"/>
      <c r="L6" s="34"/>
      <c r="M6" s="37"/>
      <c r="O6" s="1"/>
      <c r="P6" s="3"/>
    </row>
    <row r="7" spans="1:16" ht="15">
      <c r="A7" s="63">
        <v>7</v>
      </c>
      <c r="B7" s="23"/>
      <c r="C7" s="23"/>
      <c r="D7" s="23"/>
      <c r="E7" s="23"/>
      <c r="F7" s="45"/>
      <c r="G7" s="46" t="s">
        <v>16</v>
      </c>
      <c r="H7" s="45"/>
      <c r="I7" s="45"/>
      <c r="J7" s="45"/>
      <c r="K7" s="45"/>
      <c r="L7" s="45"/>
      <c r="M7" s="47"/>
      <c r="O7" s="1"/>
      <c r="P7" s="1"/>
    </row>
    <row r="8" spans="1:16" ht="15">
      <c r="A8" s="57"/>
      <c r="B8" s="10"/>
      <c r="C8" s="10"/>
      <c r="D8" s="10"/>
      <c r="E8" s="10"/>
      <c r="F8" s="11"/>
      <c r="G8" s="10"/>
      <c r="H8" s="10"/>
      <c r="I8" s="10"/>
      <c r="J8" s="10"/>
      <c r="K8" s="10"/>
      <c r="L8" s="10"/>
      <c r="M8" s="17"/>
      <c r="O8" s="1"/>
      <c r="P8" s="5"/>
    </row>
    <row r="9" spans="1:16" ht="15">
      <c r="A9" s="64" t="s">
        <v>17</v>
      </c>
      <c r="B9" s="35"/>
      <c r="C9" s="35"/>
      <c r="D9" s="35"/>
      <c r="E9" s="35"/>
      <c r="F9" s="35"/>
      <c r="G9" s="36" t="s">
        <v>13</v>
      </c>
      <c r="H9" s="35"/>
      <c r="I9" s="35"/>
      <c r="J9" s="27"/>
      <c r="K9" s="27"/>
      <c r="L9" s="34"/>
      <c r="M9" s="37"/>
      <c r="O9" s="1"/>
      <c r="P9" s="5"/>
    </row>
    <row r="10" spans="1:16" ht="15">
      <c r="A10" s="63">
        <v>8</v>
      </c>
      <c r="B10" s="23"/>
      <c r="C10" s="23"/>
      <c r="D10" s="23"/>
      <c r="E10" s="23"/>
      <c r="F10" s="45"/>
      <c r="G10" s="46" t="s">
        <v>16</v>
      </c>
      <c r="H10" s="45"/>
      <c r="I10" s="45"/>
      <c r="J10" s="45"/>
      <c r="K10" s="45"/>
      <c r="L10" s="45"/>
      <c r="M10" s="47"/>
      <c r="O10" s="1"/>
      <c r="P10" s="5"/>
    </row>
    <row r="11" spans="1:16" ht="15">
      <c r="A11" s="57"/>
      <c r="B11" s="10"/>
      <c r="C11" s="10"/>
      <c r="D11" s="10"/>
      <c r="E11" s="10"/>
      <c r="F11" s="11"/>
      <c r="G11" s="10"/>
      <c r="H11" s="10"/>
      <c r="I11" s="10"/>
      <c r="J11" s="10"/>
      <c r="K11" s="10"/>
      <c r="L11" s="10"/>
      <c r="M11" s="17"/>
      <c r="O11" s="1"/>
      <c r="P11" s="5"/>
    </row>
    <row r="12" spans="1:16" ht="15">
      <c r="A12" s="64" t="s">
        <v>18</v>
      </c>
      <c r="B12" s="35"/>
      <c r="C12" s="35"/>
      <c r="D12" s="35"/>
      <c r="E12" s="35"/>
      <c r="F12" s="35"/>
      <c r="G12" s="36" t="s">
        <v>13</v>
      </c>
      <c r="H12" s="35"/>
      <c r="I12" s="35"/>
      <c r="J12" s="35"/>
      <c r="K12" s="35"/>
      <c r="L12" s="35"/>
      <c r="M12" s="51"/>
      <c r="O12" s="4"/>
      <c r="P12" s="5"/>
    </row>
    <row r="13" spans="1:16" ht="15">
      <c r="A13" s="65">
        <v>9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30"/>
      <c r="O13" s="1"/>
      <c r="P13" s="5"/>
    </row>
    <row r="14" spans="1:16" ht="15">
      <c r="A14" s="56"/>
      <c r="B14" s="10"/>
      <c r="C14" s="10"/>
      <c r="D14" s="10"/>
      <c r="E14" s="10"/>
      <c r="F14" s="11"/>
      <c r="G14" s="10"/>
      <c r="H14" s="10"/>
      <c r="I14" s="10"/>
      <c r="J14" s="10"/>
      <c r="K14" s="10"/>
      <c r="L14" s="10"/>
      <c r="M14" s="17"/>
      <c r="O14" s="1"/>
      <c r="P14" s="5"/>
    </row>
    <row r="15" spans="1:16" ht="15">
      <c r="A15" s="64" t="s">
        <v>19</v>
      </c>
      <c r="B15" s="31"/>
      <c r="C15" s="31"/>
      <c r="D15" s="31"/>
      <c r="E15" s="31"/>
      <c r="F15" s="31"/>
      <c r="G15" s="32" t="s">
        <v>16</v>
      </c>
      <c r="H15" s="31"/>
      <c r="I15" s="31"/>
      <c r="J15" s="31"/>
      <c r="K15" s="31"/>
      <c r="L15" s="31"/>
      <c r="M15" s="33"/>
      <c r="O15" s="1"/>
      <c r="P15" s="5"/>
    </row>
    <row r="16" spans="1:16" ht="15">
      <c r="A16" s="65">
        <v>10</v>
      </c>
      <c r="B16" s="23"/>
      <c r="C16" s="23"/>
      <c r="D16" s="23"/>
      <c r="E16" s="23"/>
      <c r="F16" s="23"/>
      <c r="G16" s="24" t="s">
        <v>16</v>
      </c>
      <c r="H16" s="23"/>
      <c r="I16" s="23"/>
      <c r="J16" s="23"/>
      <c r="K16" s="23"/>
      <c r="L16" s="23"/>
      <c r="M16" s="25"/>
      <c r="O16" s="1"/>
      <c r="P16" s="5"/>
    </row>
    <row r="17" spans="1:16" ht="15">
      <c r="A17" s="56"/>
      <c r="B17" s="10"/>
      <c r="C17" s="10"/>
      <c r="D17" s="10"/>
      <c r="E17" s="10"/>
      <c r="F17" s="11"/>
      <c r="G17" s="10"/>
      <c r="H17" s="10"/>
      <c r="I17" s="10"/>
      <c r="J17" s="10"/>
      <c r="K17" s="10"/>
      <c r="L17" s="10"/>
      <c r="M17" s="17"/>
      <c r="O17" s="1"/>
      <c r="P17" s="5"/>
    </row>
    <row r="18" spans="1:16" ht="15">
      <c r="A18" s="64" t="s">
        <v>20</v>
      </c>
      <c r="B18" s="31"/>
      <c r="C18" s="31"/>
      <c r="D18" s="31"/>
      <c r="E18" s="31"/>
      <c r="F18" s="31"/>
      <c r="G18" s="32" t="s">
        <v>16</v>
      </c>
      <c r="H18" s="31"/>
      <c r="I18" s="31"/>
      <c r="J18" s="31"/>
      <c r="K18" s="31"/>
      <c r="L18" s="31"/>
      <c r="M18" s="33"/>
      <c r="O18" s="1"/>
      <c r="P18" s="5"/>
    </row>
    <row r="19" spans="1:16" ht="15">
      <c r="A19" s="63">
        <v>11</v>
      </c>
      <c r="B19" s="23"/>
      <c r="C19" s="23"/>
      <c r="D19" s="23"/>
      <c r="E19" s="23"/>
      <c r="F19" s="23"/>
      <c r="G19" s="24" t="s">
        <v>13</v>
      </c>
      <c r="H19" s="23"/>
      <c r="I19" s="23"/>
      <c r="J19" s="23"/>
      <c r="K19" s="23"/>
      <c r="L19" s="23"/>
      <c r="M19" s="25"/>
      <c r="O19" s="1"/>
      <c r="P19" s="5"/>
    </row>
    <row r="20" spans="1:16" ht="15">
      <c r="A20" s="57"/>
      <c r="B20" s="10"/>
      <c r="C20" s="10"/>
      <c r="D20" s="10"/>
      <c r="E20" s="10"/>
      <c r="F20" s="11"/>
      <c r="G20" s="10"/>
      <c r="H20" s="10"/>
      <c r="I20" s="10"/>
      <c r="J20" s="10"/>
      <c r="K20" s="10"/>
      <c r="L20" s="10"/>
      <c r="M20" s="17"/>
      <c r="O20" s="1"/>
      <c r="P20" s="5"/>
    </row>
    <row r="21" spans="1:16" ht="15">
      <c r="A21" s="66" t="s">
        <v>21</v>
      </c>
      <c r="B21" s="34"/>
      <c r="C21" s="35"/>
      <c r="D21" s="35"/>
      <c r="E21" s="35"/>
      <c r="F21" s="35"/>
      <c r="G21" s="36" t="s">
        <v>13</v>
      </c>
      <c r="H21" s="35"/>
      <c r="I21" s="35"/>
      <c r="J21" s="35"/>
      <c r="K21" s="34"/>
      <c r="L21" s="34"/>
      <c r="M21" s="37"/>
      <c r="O21" s="4"/>
      <c r="P21" s="5"/>
    </row>
    <row r="22" spans="1:16" ht="15">
      <c r="A22" s="63">
        <v>12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0"/>
      <c r="O22" s="4"/>
      <c r="P22" s="5"/>
    </row>
    <row r="23" spans="1:16" ht="15">
      <c r="A23" s="5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7"/>
      <c r="O23" s="1"/>
      <c r="P23" s="5"/>
    </row>
    <row r="24" spans="1:16" ht="15">
      <c r="A24" s="71" t="s">
        <v>22</v>
      </c>
      <c r="B24" s="35"/>
      <c r="C24" s="35"/>
      <c r="D24" s="35"/>
      <c r="E24" s="35"/>
      <c r="F24" s="35"/>
      <c r="G24" s="36" t="s">
        <v>13</v>
      </c>
      <c r="H24" s="35"/>
      <c r="I24" s="35"/>
      <c r="J24" s="35"/>
      <c r="K24" s="35"/>
      <c r="L24" s="35"/>
      <c r="M24" s="51"/>
      <c r="O24" s="3"/>
      <c r="P24" s="2"/>
    </row>
    <row r="25" spans="1:16" ht="15">
      <c r="A25" s="72">
        <v>13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0"/>
      <c r="O25" s="1"/>
      <c r="P25" s="1"/>
    </row>
    <row r="26" spans="1:16" ht="15">
      <c r="O26" s="2"/>
      <c r="P26" s="2"/>
    </row>
    <row r="27" spans="1:16" ht="15">
      <c r="I27" s="86" t="s">
        <v>23</v>
      </c>
      <c r="J27" s="109" t="s">
        <v>24</v>
      </c>
      <c r="K27" s="109"/>
      <c r="L27" s="112" t="s">
        <v>25</v>
      </c>
      <c r="M27" s="113"/>
    </row>
    <row r="28" spans="1:16" ht="15">
      <c r="I28" s="87" t="s">
        <v>15</v>
      </c>
      <c r="J28" s="110">
        <f>LiczGodziny($B$6:$M$25,44)</f>
        <v>0</v>
      </c>
      <c r="K28" s="110"/>
      <c r="L28" s="103">
        <f>J28+'1-6'!L28</f>
        <v>11</v>
      </c>
      <c r="M28" s="104"/>
    </row>
    <row r="29" spans="1:16" ht="15">
      <c r="I29" s="88" t="s">
        <v>13</v>
      </c>
      <c r="J29" s="111">
        <f>LiczGodziny($B$6:$M$25,23)</f>
        <v>48</v>
      </c>
      <c r="K29" s="111"/>
      <c r="L29" s="105">
        <f>J29+'1-6'!L29</f>
        <v>60</v>
      </c>
      <c r="M29" s="106"/>
    </row>
    <row r="30" spans="1:16" ht="15">
      <c r="I30" s="89" t="s">
        <v>16</v>
      </c>
      <c r="J30" s="102">
        <f>LiczGodziny($B$6:$M$25,9)</f>
        <v>40</v>
      </c>
      <c r="K30" s="102"/>
      <c r="L30" s="107">
        <f>J30+'1-6'!L30</f>
        <v>61</v>
      </c>
      <c r="M30" s="108"/>
    </row>
    <row r="31" spans="1:16">
      <c r="D31" s="94"/>
    </row>
  </sheetData>
  <sheetProtection selectLockedCells="1" selectUnlockedCells="1"/>
  <mergeCells count="8">
    <mergeCell ref="J27:K27"/>
    <mergeCell ref="L27:M27"/>
    <mergeCell ref="J28:K28"/>
    <mergeCell ref="J29:K29"/>
    <mergeCell ref="J30:K30"/>
    <mergeCell ref="L28:M28"/>
    <mergeCell ref="L29:M29"/>
    <mergeCell ref="L30:M30"/>
  </mergeCells>
  <pageMargins left="0.78749999999999998" right="0.78749999999999998" top="1.0249999999999999" bottom="1.0249999999999999" header="0.78749999999999998" footer="0.78749999999999998"/>
  <pageSetup paperSize="9" scale="86" firstPageNumber="0" fitToHeight="0" orientation="landscape" r:id="rId1"/>
  <headerFooter alignWithMargins="0">
    <oddHeader>&amp;C&amp;A</oddHeader>
    <oddFooter>&amp;CStrona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ydz_3">
    <tabColor theme="7" tint="0.39997558519241921"/>
    <pageSetUpPr fitToPage="1"/>
  </sheetPr>
  <dimension ref="A1:P31"/>
  <sheetViews>
    <sheetView zoomScaleNormal="100" workbookViewId="0">
      <selection activeCell="D27" sqref="D27"/>
    </sheetView>
  </sheetViews>
  <sheetFormatPr defaultColWidth="11.5703125" defaultRowHeight="12.75"/>
  <cols>
    <col min="1" max="2" width="12.42578125" bestFit="1" customWidth="1"/>
    <col min="17" max="17" width="16.7109375" customWidth="1"/>
    <col min="18" max="18" width="18.85546875" bestFit="1" customWidth="1"/>
    <col min="19" max="19" width="19.5703125" bestFit="1" customWidth="1"/>
  </cols>
  <sheetData>
    <row r="1" spans="1:16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/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15"/>
      <c r="B4" s="67" t="s">
        <v>0</v>
      </c>
      <c r="C4" s="52" t="s">
        <v>1</v>
      </c>
      <c r="D4" s="52" t="s">
        <v>2</v>
      </c>
      <c r="E4" s="52" t="s">
        <v>3</v>
      </c>
      <c r="F4" s="52" t="s">
        <v>4</v>
      </c>
      <c r="G4" s="52" t="s">
        <v>5</v>
      </c>
      <c r="H4" s="52" t="s">
        <v>6</v>
      </c>
      <c r="I4" s="52" t="s">
        <v>7</v>
      </c>
      <c r="J4" s="52" t="s">
        <v>8</v>
      </c>
      <c r="K4" s="52" t="s">
        <v>9</v>
      </c>
      <c r="L4" s="52" t="s">
        <v>10</v>
      </c>
      <c r="M4" s="53" t="s">
        <v>11</v>
      </c>
      <c r="O4" s="1"/>
      <c r="P4" s="1"/>
    </row>
    <row r="5" spans="1:16" ht="15">
      <c r="A5" s="16"/>
      <c r="B5" s="58"/>
      <c r="C5" s="54"/>
      <c r="D5" s="54"/>
      <c r="E5" s="54"/>
      <c r="F5" s="54"/>
      <c r="G5" s="54"/>
      <c r="H5" s="54"/>
      <c r="I5" s="54"/>
      <c r="J5" s="54"/>
      <c r="K5" s="54"/>
      <c r="L5" s="54"/>
      <c r="M5" s="55"/>
      <c r="O5" s="1"/>
      <c r="P5" s="1"/>
    </row>
    <row r="6" spans="1:16" ht="15">
      <c r="A6" s="62" t="s">
        <v>12</v>
      </c>
      <c r="B6" s="68"/>
      <c r="C6" s="68"/>
      <c r="D6" s="68"/>
      <c r="E6" s="68"/>
      <c r="F6" s="68"/>
      <c r="G6" s="78" t="s">
        <v>15</v>
      </c>
      <c r="H6" s="68"/>
      <c r="I6" s="68"/>
      <c r="J6" s="77"/>
      <c r="K6" s="77"/>
      <c r="L6" s="68"/>
      <c r="M6" s="69"/>
      <c r="O6" s="1"/>
      <c r="P6" s="3"/>
    </row>
    <row r="7" spans="1:16" ht="15">
      <c r="A7" s="63">
        <v>14</v>
      </c>
      <c r="B7" s="23"/>
      <c r="C7" s="23"/>
      <c r="D7" s="23"/>
      <c r="E7" s="23"/>
      <c r="F7" s="23"/>
      <c r="G7" s="24" t="s">
        <v>16</v>
      </c>
      <c r="H7" s="23"/>
      <c r="I7" s="23"/>
      <c r="J7" s="23"/>
      <c r="K7" s="23"/>
      <c r="L7" s="23"/>
      <c r="M7" s="25"/>
      <c r="O7" s="1"/>
      <c r="P7" s="1"/>
    </row>
    <row r="8" spans="1:16" ht="15">
      <c r="A8" s="57"/>
      <c r="B8" s="10"/>
      <c r="C8" s="10"/>
      <c r="D8" s="10"/>
      <c r="E8" s="10"/>
      <c r="F8" s="11"/>
      <c r="G8" s="10"/>
      <c r="H8" s="10"/>
      <c r="I8" s="10"/>
      <c r="J8" s="10"/>
      <c r="K8" s="10"/>
      <c r="L8" s="10"/>
      <c r="M8" s="17"/>
      <c r="O8" s="1"/>
      <c r="P8" s="5"/>
    </row>
    <row r="9" spans="1:16" ht="15">
      <c r="A9" s="64" t="s">
        <v>17</v>
      </c>
      <c r="B9" s="35"/>
      <c r="C9" s="35"/>
      <c r="D9" s="35"/>
      <c r="E9" s="35"/>
      <c r="F9" s="35"/>
      <c r="G9" s="36" t="s">
        <v>13</v>
      </c>
      <c r="H9" s="35"/>
      <c r="I9" s="35"/>
      <c r="J9" s="27"/>
      <c r="K9" s="27"/>
      <c r="L9" s="34"/>
      <c r="M9" s="37"/>
      <c r="O9" s="1"/>
      <c r="P9" s="5"/>
    </row>
    <row r="10" spans="1:16" ht="15">
      <c r="A10" s="63">
        <v>15</v>
      </c>
      <c r="B10" s="23"/>
      <c r="C10" s="23"/>
      <c r="D10" s="23"/>
      <c r="E10" s="23"/>
      <c r="F10" s="45"/>
      <c r="G10" s="46" t="s">
        <v>16</v>
      </c>
      <c r="H10" s="45"/>
      <c r="I10" s="45"/>
      <c r="J10" s="45"/>
      <c r="K10" s="45"/>
      <c r="L10" s="45"/>
      <c r="M10" s="47"/>
      <c r="O10" s="1"/>
      <c r="P10" s="5"/>
    </row>
    <row r="11" spans="1:16" ht="15">
      <c r="A11" s="57"/>
      <c r="B11" s="10"/>
      <c r="C11" s="10"/>
      <c r="D11" s="10"/>
      <c r="E11" s="10"/>
      <c r="F11" s="11"/>
      <c r="G11" s="10"/>
      <c r="H11" s="10"/>
      <c r="I11" s="10"/>
      <c r="J11" s="10"/>
      <c r="K11" s="10"/>
      <c r="L11" s="10"/>
      <c r="M11" s="17"/>
      <c r="O11" s="1"/>
      <c r="P11" s="5"/>
    </row>
    <row r="12" spans="1:16" ht="15">
      <c r="A12" s="64" t="s">
        <v>18</v>
      </c>
      <c r="B12" s="35"/>
      <c r="C12" s="35"/>
      <c r="D12" s="35"/>
      <c r="E12" s="35"/>
      <c r="F12" s="35"/>
      <c r="G12" s="36" t="s">
        <v>13</v>
      </c>
      <c r="H12" s="35"/>
      <c r="I12" s="35"/>
      <c r="J12" s="35"/>
      <c r="K12" s="35"/>
      <c r="L12" s="35"/>
      <c r="M12" s="51"/>
      <c r="O12" s="4"/>
      <c r="P12" s="5"/>
    </row>
    <row r="13" spans="1:16" ht="15">
      <c r="A13" s="65">
        <v>16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30"/>
      <c r="O13" s="1"/>
      <c r="P13" s="5"/>
    </row>
    <row r="14" spans="1:16" ht="15">
      <c r="A14" s="56"/>
      <c r="B14" s="10"/>
      <c r="C14" s="10"/>
      <c r="D14" s="10"/>
      <c r="E14" s="10"/>
      <c r="F14" s="11"/>
      <c r="G14" s="10"/>
      <c r="H14" s="10"/>
      <c r="I14" s="10"/>
      <c r="J14" s="10"/>
      <c r="K14" s="10"/>
      <c r="L14" s="10"/>
      <c r="M14" s="17"/>
      <c r="O14" s="1"/>
      <c r="P14" s="5"/>
    </row>
    <row r="15" spans="1:16" ht="15">
      <c r="A15" s="64" t="s">
        <v>19</v>
      </c>
      <c r="B15" s="31"/>
      <c r="C15" s="31"/>
      <c r="D15" s="31"/>
      <c r="E15" s="31"/>
      <c r="F15" s="31"/>
      <c r="G15" s="32" t="s">
        <v>16</v>
      </c>
      <c r="H15" s="31"/>
      <c r="I15" s="31"/>
      <c r="J15" s="31"/>
      <c r="K15" s="31"/>
      <c r="L15" s="31"/>
      <c r="M15" s="33"/>
      <c r="O15" s="1"/>
      <c r="P15" s="5"/>
    </row>
    <row r="16" spans="1:16" ht="15">
      <c r="A16" s="65">
        <v>17</v>
      </c>
      <c r="B16" s="23"/>
      <c r="C16" s="23"/>
      <c r="D16" s="23"/>
      <c r="E16" s="23"/>
      <c r="F16" s="23"/>
      <c r="G16" s="24" t="s">
        <v>16</v>
      </c>
      <c r="H16" s="23"/>
      <c r="I16" s="23"/>
      <c r="J16" s="23"/>
      <c r="K16" s="23"/>
      <c r="L16" s="23"/>
      <c r="M16" s="25"/>
      <c r="O16" s="1"/>
      <c r="P16" s="5"/>
    </row>
    <row r="17" spans="1:16" ht="15">
      <c r="A17" s="56"/>
      <c r="B17" s="10"/>
      <c r="C17" s="10"/>
      <c r="D17" s="10"/>
      <c r="E17" s="10"/>
      <c r="F17" s="11"/>
      <c r="G17" s="10"/>
      <c r="H17" s="10"/>
      <c r="I17" s="10"/>
      <c r="J17" s="10"/>
      <c r="K17" s="10"/>
      <c r="L17" s="10"/>
      <c r="M17" s="17"/>
      <c r="O17" s="1"/>
      <c r="P17" s="5"/>
    </row>
    <row r="18" spans="1:16" ht="15">
      <c r="A18" s="64" t="s">
        <v>20</v>
      </c>
      <c r="B18" s="68"/>
      <c r="C18" s="68"/>
      <c r="D18" s="68"/>
      <c r="E18" s="68"/>
      <c r="F18" s="68"/>
      <c r="G18" s="78" t="s">
        <v>15</v>
      </c>
      <c r="H18" s="68"/>
      <c r="I18" s="68"/>
      <c r="J18" s="68"/>
      <c r="K18" s="68"/>
      <c r="L18" s="68"/>
      <c r="M18" s="69"/>
      <c r="O18" s="1"/>
      <c r="P18" s="5"/>
    </row>
    <row r="19" spans="1:16" ht="15">
      <c r="A19" s="63">
        <v>18</v>
      </c>
      <c r="B19" s="81"/>
      <c r="C19" s="81"/>
      <c r="D19" s="81"/>
      <c r="E19" s="81"/>
      <c r="F19" s="81"/>
      <c r="G19" s="82" t="s">
        <v>16</v>
      </c>
      <c r="H19" s="81"/>
      <c r="I19" s="81"/>
      <c r="J19" s="23"/>
      <c r="K19" s="23"/>
      <c r="L19" s="23"/>
      <c r="M19" s="25"/>
      <c r="O19" s="1"/>
      <c r="P19" s="5"/>
    </row>
    <row r="20" spans="1:16" ht="15">
      <c r="A20" s="57"/>
      <c r="B20" s="10"/>
      <c r="C20" s="10"/>
      <c r="D20" s="10"/>
      <c r="E20" s="10"/>
      <c r="F20" s="11"/>
      <c r="G20" s="10"/>
      <c r="H20" s="10"/>
      <c r="I20" s="10"/>
      <c r="J20" s="10"/>
      <c r="K20" s="10"/>
      <c r="L20" s="10"/>
      <c r="M20" s="17"/>
      <c r="O20" s="1"/>
      <c r="P20" s="5"/>
    </row>
    <row r="21" spans="1:16" ht="15">
      <c r="A21" s="66" t="s">
        <v>21</v>
      </c>
      <c r="B21" s="34"/>
      <c r="C21" s="35"/>
      <c r="D21" s="35"/>
      <c r="E21" s="35"/>
      <c r="F21" s="35"/>
      <c r="G21" s="36" t="s">
        <v>13</v>
      </c>
      <c r="H21" s="35"/>
      <c r="I21" s="35"/>
      <c r="J21" s="35"/>
      <c r="K21" s="34"/>
      <c r="L21" s="34"/>
      <c r="M21" s="37"/>
      <c r="O21" s="4"/>
      <c r="P21" s="5"/>
    </row>
    <row r="22" spans="1:16" ht="15">
      <c r="A22" s="63">
        <v>19</v>
      </c>
      <c r="B22" s="73"/>
      <c r="C22" s="73"/>
      <c r="D22" s="73"/>
      <c r="E22" s="73"/>
      <c r="F22" s="73"/>
      <c r="G22" s="76" t="s">
        <v>16</v>
      </c>
      <c r="H22" s="75"/>
      <c r="I22" s="75"/>
      <c r="J22" s="75"/>
      <c r="K22" s="75"/>
      <c r="L22" s="75"/>
      <c r="M22" s="79"/>
      <c r="O22" s="4"/>
      <c r="P22" s="5"/>
    </row>
    <row r="23" spans="1:16" ht="15">
      <c r="A23" s="5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7"/>
      <c r="O23" s="1"/>
      <c r="P23" s="5"/>
    </row>
    <row r="24" spans="1:16" ht="15">
      <c r="A24" s="71" t="s">
        <v>22</v>
      </c>
      <c r="B24" s="68"/>
      <c r="C24" s="68"/>
      <c r="D24" s="68"/>
      <c r="E24" s="68"/>
      <c r="F24" s="68"/>
      <c r="G24" s="78" t="s">
        <v>15</v>
      </c>
      <c r="H24" s="68"/>
      <c r="I24" s="68"/>
      <c r="J24" s="68"/>
      <c r="K24" s="68"/>
      <c r="L24" s="68"/>
      <c r="M24" s="69"/>
      <c r="O24" s="3"/>
      <c r="P24" s="2"/>
    </row>
    <row r="25" spans="1:16" ht="15">
      <c r="A25" s="63">
        <v>20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0"/>
      <c r="O25" s="1"/>
      <c r="P25" s="1"/>
    </row>
    <row r="26" spans="1:16" ht="15">
      <c r="A26" s="3"/>
      <c r="O26" s="2"/>
      <c r="P26" s="2"/>
    </row>
    <row r="27" spans="1:16" ht="15">
      <c r="I27" s="86" t="s">
        <v>23</v>
      </c>
      <c r="J27" s="109" t="s">
        <v>24</v>
      </c>
      <c r="K27" s="109"/>
      <c r="L27" s="112" t="s">
        <v>25</v>
      </c>
      <c r="M27" s="113"/>
    </row>
    <row r="28" spans="1:16" ht="15">
      <c r="I28" s="87" t="s">
        <v>15</v>
      </c>
      <c r="J28" s="110">
        <f>LiczGodziny($B$6:$M$25,44)</f>
        <v>36</v>
      </c>
      <c r="K28" s="110"/>
      <c r="L28" s="103">
        <f>J28+'7-13'!L28:M28</f>
        <v>47</v>
      </c>
      <c r="M28" s="104"/>
    </row>
    <row r="29" spans="1:16" ht="15">
      <c r="I29" s="88" t="s">
        <v>13</v>
      </c>
      <c r="J29" s="111">
        <f>LiczGodziny($B$6:$M$25,23)</f>
        <v>28</v>
      </c>
      <c r="K29" s="111"/>
      <c r="L29" s="105">
        <f>J29+'7-13'!L29:M29</f>
        <v>88</v>
      </c>
      <c r="M29" s="106"/>
    </row>
    <row r="30" spans="1:16" ht="15">
      <c r="I30" s="89" t="s">
        <v>16</v>
      </c>
      <c r="J30" s="102">
        <f>LiczGodziny($B$6:$M$25,9)</f>
        <v>35</v>
      </c>
      <c r="K30" s="102"/>
      <c r="L30" s="107">
        <f>J30+'7-13'!L30:M30</f>
        <v>96</v>
      </c>
      <c r="M30" s="108"/>
    </row>
    <row r="31" spans="1:16">
      <c r="D31" s="94"/>
    </row>
  </sheetData>
  <sheetProtection selectLockedCells="1" selectUnlockedCells="1"/>
  <mergeCells count="8">
    <mergeCell ref="J27:K27"/>
    <mergeCell ref="L27:M27"/>
    <mergeCell ref="J28:K28"/>
    <mergeCell ref="J29:K29"/>
    <mergeCell ref="J30:K30"/>
    <mergeCell ref="L28:M28"/>
    <mergeCell ref="L29:M29"/>
    <mergeCell ref="L30:M30"/>
  </mergeCells>
  <pageMargins left="0.78749999999999998" right="0.78749999999999998" top="1.0249999999999999" bottom="1.0249999999999999" header="0.78749999999999998" footer="0.78749999999999998"/>
  <pageSetup paperSize="9" scale="86" firstPageNumber="0" fitToHeight="0" orientation="landscape" r:id="rId1"/>
  <headerFooter alignWithMargins="0">
    <oddHeader>&amp;C&amp;A</oddHeader>
    <oddFooter>&amp;CStrona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ydz_4">
    <tabColor indexed="10"/>
    <pageSetUpPr fitToPage="1"/>
  </sheetPr>
  <dimension ref="A1:P30"/>
  <sheetViews>
    <sheetView zoomScaleNormal="100" workbookViewId="0">
      <selection activeCell="D27" sqref="D27"/>
    </sheetView>
  </sheetViews>
  <sheetFormatPr defaultColWidth="11.5703125" defaultRowHeight="12.75"/>
  <cols>
    <col min="1" max="1" width="12.42578125" bestFit="1" customWidth="1"/>
    <col min="17" max="17" width="16.7109375" customWidth="1"/>
    <col min="18" max="18" width="18.85546875" bestFit="1" customWidth="1"/>
    <col min="19" max="19" width="19.5703125" bestFit="1" customWidth="1"/>
  </cols>
  <sheetData>
    <row r="1" spans="1:16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/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15"/>
      <c r="B4" s="67" t="s">
        <v>0</v>
      </c>
      <c r="C4" s="52" t="s">
        <v>1</v>
      </c>
      <c r="D4" s="52" t="s">
        <v>2</v>
      </c>
      <c r="E4" s="52" t="s">
        <v>3</v>
      </c>
      <c r="F4" s="52" t="s">
        <v>4</v>
      </c>
      <c r="G4" s="52" t="s">
        <v>5</v>
      </c>
      <c r="H4" s="52" t="s">
        <v>6</v>
      </c>
      <c r="I4" s="52" t="s">
        <v>7</v>
      </c>
      <c r="J4" s="52" t="s">
        <v>8</v>
      </c>
      <c r="K4" s="52" t="s">
        <v>9</v>
      </c>
      <c r="L4" s="52" t="s">
        <v>10</v>
      </c>
      <c r="M4" s="53" t="s">
        <v>11</v>
      </c>
      <c r="O4" s="1"/>
      <c r="P4" s="3"/>
    </row>
    <row r="5" spans="1:16" ht="15">
      <c r="A5" s="16"/>
      <c r="B5" s="58"/>
      <c r="C5" s="54"/>
      <c r="D5" s="54"/>
      <c r="E5" s="54"/>
      <c r="F5" s="54"/>
      <c r="G5" s="54"/>
      <c r="H5" s="54"/>
      <c r="I5" s="54"/>
      <c r="J5" s="54"/>
      <c r="K5" s="54"/>
      <c r="L5" s="54"/>
      <c r="M5" s="55"/>
      <c r="O5" s="1"/>
      <c r="P5" s="1"/>
    </row>
    <row r="6" spans="1:16" ht="15">
      <c r="A6" s="62" t="s">
        <v>12</v>
      </c>
      <c r="B6" s="31"/>
      <c r="C6" s="31"/>
      <c r="D6" s="31"/>
      <c r="E6" s="31"/>
      <c r="F6" s="31"/>
      <c r="G6" s="32" t="s">
        <v>16</v>
      </c>
      <c r="H6" s="31"/>
      <c r="I6" s="31"/>
      <c r="J6" s="27"/>
      <c r="K6" s="40" t="s">
        <v>14</v>
      </c>
      <c r="L6" s="40"/>
      <c r="M6" s="41"/>
      <c r="O6" s="1"/>
      <c r="P6" s="5"/>
    </row>
    <row r="7" spans="1:16" ht="15">
      <c r="A7" s="63">
        <v>21</v>
      </c>
      <c r="B7" s="18"/>
      <c r="C7" s="18"/>
      <c r="D7" s="18"/>
      <c r="E7" s="18"/>
      <c r="F7" s="18"/>
      <c r="G7" s="19" t="s">
        <v>13</v>
      </c>
      <c r="H7" s="18"/>
      <c r="I7" s="18"/>
      <c r="J7" s="18"/>
      <c r="K7" s="18"/>
      <c r="L7" s="18"/>
      <c r="M7" s="20"/>
      <c r="O7" s="1"/>
      <c r="P7" s="5"/>
    </row>
    <row r="8" spans="1:16" ht="15">
      <c r="A8" s="57"/>
      <c r="B8" s="10"/>
      <c r="C8" s="10"/>
      <c r="D8" s="10"/>
      <c r="E8" s="10"/>
      <c r="F8" s="11"/>
      <c r="G8" s="10"/>
      <c r="H8" s="10"/>
      <c r="I8" s="10"/>
      <c r="J8" s="10"/>
      <c r="K8" s="10"/>
      <c r="L8" s="10"/>
      <c r="M8" s="17"/>
      <c r="O8" s="1"/>
      <c r="P8" s="5"/>
    </row>
    <row r="9" spans="1:16" ht="15">
      <c r="A9" s="64" t="s">
        <v>17</v>
      </c>
      <c r="B9" s="48"/>
      <c r="C9" s="48"/>
      <c r="D9" s="48"/>
      <c r="E9" s="48"/>
      <c r="F9" s="48"/>
      <c r="G9" s="49" t="s">
        <v>15</v>
      </c>
      <c r="H9" s="48"/>
      <c r="I9" s="48"/>
      <c r="J9" s="27"/>
      <c r="K9" s="27"/>
      <c r="L9" s="34"/>
      <c r="M9" s="37"/>
      <c r="O9" s="1"/>
      <c r="P9" s="5"/>
    </row>
    <row r="10" spans="1:16" ht="15">
      <c r="A10" s="63">
        <v>22</v>
      </c>
      <c r="B10" s="45"/>
      <c r="C10" s="45"/>
      <c r="D10" s="45"/>
      <c r="E10" s="45"/>
      <c r="F10" s="45"/>
      <c r="G10" s="46" t="s">
        <v>16</v>
      </c>
      <c r="H10" s="45"/>
      <c r="I10" s="45"/>
      <c r="J10" s="45"/>
      <c r="K10" s="45"/>
      <c r="L10" s="45"/>
      <c r="M10" s="47"/>
      <c r="O10" s="4"/>
      <c r="P10" s="5"/>
    </row>
    <row r="11" spans="1:16" ht="15">
      <c r="A11" s="57"/>
      <c r="B11" s="10"/>
      <c r="C11" s="10"/>
      <c r="D11" s="10"/>
      <c r="E11" s="10"/>
      <c r="F11" s="11"/>
      <c r="G11" s="10"/>
      <c r="H11" s="10"/>
      <c r="I11" s="10"/>
      <c r="J11" s="10"/>
      <c r="K11" s="10"/>
      <c r="L11" s="10"/>
      <c r="M11" s="17"/>
      <c r="O11" s="1"/>
      <c r="P11" s="5"/>
    </row>
    <row r="12" spans="1:16" ht="15">
      <c r="A12" s="64" t="s">
        <v>18</v>
      </c>
      <c r="B12" s="35"/>
      <c r="C12" s="35"/>
      <c r="D12" s="35"/>
      <c r="E12" s="35"/>
      <c r="F12" s="35"/>
      <c r="G12" s="36" t="s">
        <v>13</v>
      </c>
      <c r="H12" s="35"/>
      <c r="I12" s="35"/>
      <c r="J12" s="27"/>
      <c r="K12" s="27"/>
      <c r="L12" s="40"/>
      <c r="M12" s="41"/>
      <c r="O12" s="1"/>
      <c r="P12" s="5"/>
    </row>
    <row r="13" spans="1:16" ht="15">
      <c r="A13" s="65">
        <v>23</v>
      </c>
      <c r="B13" s="42"/>
      <c r="C13" s="42"/>
      <c r="D13" s="42"/>
      <c r="E13" s="42"/>
      <c r="F13" s="42"/>
      <c r="G13" s="43" t="s">
        <v>15</v>
      </c>
      <c r="H13" s="42"/>
      <c r="I13" s="42"/>
      <c r="J13" s="42"/>
      <c r="K13" s="42"/>
      <c r="L13" s="42"/>
      <c r="M13" s="44"/>
      <c r="O13" s="1"/>
      <c r="P13" s="5"/>
    </row>
    <row r="14" spans="1:16" ht="15">
      <c r="A14" s="56"/>
      <c r="B14" s="10"/>
      <c r="C14" s="10"/>
      <c r="D14" s="10"/>
      <c r="E14" s="10"/>
      <c r="F14" s="11"/>
      <c r="G14" s="10"/>
      <c r="H14" s="10"/>
      <c r="I14" s="10"/>
      <c r="J14" s="10"/>
      <c r="K14" s="10"/>
      <c r="L14" s="10"/>
      <c r="M14" s="17"/>
      <c r="O14" s="1"/>
      <c r="P14" s="5"/>
    </row>
    <row r="15" spans="1:16" ht="15">
      <c r="A15" s="64" t="s">
        <v>19</v>
      </c>
      <c r="B15" s="35"/>
      <c r="C15" s="35"/>
      <c r="D15" s="35"/>
      <c r="E15" s="35"/>
      <c r="F15" s="35"/>
      <c r="G15" s="36" t="s">
        <v>13</v>
      </c>
      <c r="H15" s="35"/>
      <c r="I15" s="35"/>
      <c r="J15" s="27"/>
      <c r="K15" s="40" t="s">
        <v>14</v>
      </c>
      <c r="L15" s="40"/>
      <c r="M15" s="41"/>
      <c r="O15" s="1"/>
      <c r="P15" s="5"/>
    </row>
    <row r="16" spans="1:16" ht="15">
      <c r="A16" s="65">
        <v>24</v>
      </c>
      <c r="B16" s="45"/>
      <c r="C16" s="45"/>
      <c r="D16" s="45"/>
      <c r="E16" s="45"/>
      <c r="F16" s="45"/>
      <c r="G16" s="46" t="s">
        <v>16</v>
      </c>
      <c r="H16" s="45"/>
      <c r="I16" s="45"/>
      <c r="J16" s="81"/>
      <c r="K16" s="45"/>
      <c r="L16" s="45"/>
      <c r="M16" s="47"/>
      <c r="O16" s="1"/>
      <c r="P16" s="5"/>
    </row>
    <row r="17" spans="1:16" ht="15">
      <c r="A17" s="56"/>
      <c r="B17" s="10"/>
      <c r="C17" s="10"/>
      <c r="D17" s="10"/>
      <c r="E17" s="10"/>
      <c r="F17" s="11"/>
      <c r="G17" s="10"/>
      <c r="H17" s="10"/>
      <c r="I17" s="10"/>
      <c r="J17" s="10"/>
      <c r="K17" s="10"/>
      <c r="L17" s="10"/>
      <c r="M17" s="17"/>
      <c r="O17" s="1"/>
      <c r="P17" s="5"/>
    </row>
    <row r="18" spans="1:16" ht="15">
      <c r="A18" s="64" t="s">
        <v>20</v>
      </c>
      <c r="B18" s="48"/>
      <c r="C18" s="48"/>
      <c r="D18" s="48"/>
      <c r="E18" s="48"/>
      <c r="F18" s="48"/>
      <c r="G18" s="49" t="s">
        <v>15</v>
      </c>
      <c r="H18" s="48"/>
      <c r="I18" s="48"/>
      <c r="J18" s="85"/>
      <c r="K18" s="27"/>
      <c r="L18" s="34"/>
      <c r="M18" s="37"/>
      <c r="O18" s="1"/>
      <c r="P18" s="5"/>
    </row>
    <row r="19" spans="1:16" ht="15">
      <c r="A19" s="63">
        <v>25</v>
      </c>
      <c r="B19" s="18"/>
      <c r="C19" s="18"/>
      <c r="D19" s="18"/>
      <c r="E19" s="18"/>
      <c r="F19" s="18"/>
      <c r="G19" s="19" t="s">
        <v>13</v>
      </c>
      <c r="H19" s="18"/>
      <c r="I19" s="18"/>
      <c r="J19" s="18"/>
      <c r="K19" s="18"/>
      <c r="L19" s="18"/>
      <c r="M19" s="20"/>
      <c r="O19" s="4"/>
      <c r="P19" s="5"/>
    </row>
    <row r="20" spans="1:16" ht="15">
      <c r="A20" s="57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7"/>
      <c r="O20" s="4"/>
      <c r="P20" s="5"/>
    </row>
    <row r="21" spans="1:16" ht="15">
      <c r="A21" s="66" t="s">
        <v>21</v>
      </c>
      <c r="B21" s="48"/>
      <c r="C21" s="48"/>
      <c r="D21" s="48"/>
      <c r="E21" s="48"/>
      <c r="F21" s="48"/>
      <c r="G21" s="49" t="s">
        <v>15</v>
      </c>
      <c r="H21" s="48"/>
      <c r="I21" s="48"/>
      <c r="J21" s="48"/>
      <c r="K21" s="48"/>
      <c r="L21" s="48"/>
      <c r="M21" s="50"/>
      <c r="O21" s="1"/>
      <c r="P21" s="5"/>
    </row>
    <row r="22" spans="1:16" ht="15">
      <c r="A22" s="63">
        <v>26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6"/>
      <c r="O22" s="3"/>
      <c r="P22" s="2"/>
    </row>
    <row r="23" spans="1:16" ht="15">
      <c r="A23" s="5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7"/>
      <c r="O23" s="1"/>
      <c r="P23" s="1"/>
    </row>
    <row r="24" spans="1:16" ht="15">
      <c r="A24" s="71" t="s">
        <v>22</v>
      </c>
      <c r="B24" s="59"/>
      <c r="C24" s="34"/>
      <c r="D24" s="34"/>
      <c r="E24" s="34"/>
      <c r="F24" s="34"/>
      <c r="G24" s="60"/>
      <c r="H24" s="34"/>
      <c r="I24" s="34"/>
      <c r="J24" s="34"/>
      <c r="K24" s="34"/>
      <c r="L24" s="34"/>
      <c r="M24" s="61"/>
      <c r="O24" s="2"/>
      <c r="P24" s="2"/>
    </row>
    <row r="25" spans="1:16">
      <c r="A25" s="72">
        <v>27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0"/>
    </row>
    <row r="27" spans="1:16" ht="15">
      <c r="I27" s="86" t="s">
        <v>23</v>
      </c>
      <c r="J27" s="109" t="s">
        <v>24</v>
      </c>
      <c r="K27" s="109"/>
      <c r="L27" s="112" t="s">
        <v>25</v>
      </c>
      <c r="M27" s="113"/>
    </row>
    <row r="28" spans="1:16" ht="15">
      <c r="I28" s="87" t="s">
        <v>15</v>
      </c>
      <c r="J28" s="110">
        <f>LiczGodziny($B$6:$M$25,44)</f>
        <v>40</v>
      </c>
      <c r="K28" s="110"/>
      <c r="L28" s="103">
        <f>J28+'14-20'!L28:M28</f>
        <v>87</v>
      </c>
      <c r="M28" s="104"/>
    </row>
    <row r="29" spans="1:16" ht="15">
      <c r="I29" s="88" t="s">
        <v>13</v>
      </c>
      <c r="J29" s="111">
        <f>LiczGodziny($B$6:$M$25,23)</f>
        <v>40</v>
      </c>
      <c r="K29" s="111"/>
      <c r="L29" s="105">
        <f>J29+'14-20'!L29:M29</f>
        <v>128</v>
      </c>
      <c r="M29" s="106"/>
    </row>
    <row r="30" spans="1:16" ht="15">
      <c r="I30" s="89" t="s">
        <v>16</v>
      </c>
      <c r="J30" s="102">
        <f>LiczGodziny($B$6:$M$25,9)</f>
        <v>32</v>
      </c>
      <c r="K30" s="102"/>
      <c r="L30" s="107">
        <f>J30+'14-20'!L30:M30</f>
        <v>128</v>
      </c>
      <c r="M30" s="108"/>
    </row>
  </sheetData>
  <sheetProtection selectLockedCells="1" selectUnlockedCells="1"/>
  <mergeCells count="8">
    <mergeCell ref="J27:K27"/>
    <mergeCell ref="L27:M27"/>
    <mergeCell ref="J28:K28"/>
    <mergeCell ref="J29:K29"/>
    <mergeCell ref="J30:K30"/>
    <mergeCell ref="L28:M28"/>
    <mergeCell ref="L29:M29"/>
    <mergeCell ref="L30:M30"/>
  </mergeCells>
  <pageMargins left="0.78749999999999998" right="0.78749999999999998" top="1.0249999999999999" bottom="1.0249999999999999" header="0.78749999999999998" footer="0.78749999999999998"/>
  <pageSetup paperSize="9" scale="87" firstPageNumber="0" fitToHeight="0" orientation="landscape" r:id="rId1"/>
  <headerFooter alignWithMargins="0">
    <oddHeader>&amp;C&amp;A</oddHeader>
    <oddFooter>&amp;CStrona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ydz_5">
    <tabColor indexed="12"/>
    <pageSetUpPr fitToPage="1"/>
  </sheetPr>
  <dimension ref="A1:P36"/>
  <sheetViews>
    <sheetView tabSelected="1" zoomScaleNormal="100" workbookViewId="0">
      <selection activeCell="A13" sqref="A13"/>
    </sheetView>
  </sheetViews>
  <sheetFormatPr defaultColWidth="11.5703125" defaultRowHeight="12.75"/>
  <cols>
    <col min="1" max="2" width="12.42578125" bestFit="1" customWidth="1"/>
    <col min="17" max="17" width="16.7109375" customWidth="1"/>
    <col min="18" max="18" width="18.85546875" bestFit="1" customWidth="1"/>
    <col min="19" max="19" width="19.5703125" bestFit="1" customWidth="1"/>
  </cols>
  <sheetData>
    <row r="1" spans="1:16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5">
      <c r="A2" s="2"/>
      <c r="B2" s="1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5">
      <c r="A4" s="15"/>
      <c r="B4" s="67" t="s">
        <v>0</v>
      </c>
      <c r="C4" s="52" t="s">
        <v>1</v>
      </c>
      <c r="D4" s="52" t="s">
        <v>2</v>
      </c>
      <c r="E4" s="52" t="s">
        <v>3</v>
      </c>
      <c r="F4" s="52" t="s">
        <v>4</v>
      </c>
      <c r="G4" s="52" t="s">
        <v>5</v>
      </c>
      <c r="H4" s="52" t="s">
        <v>6</v>
      </c>
      <c r="I4" s="52" t="s">
        <v>7</v>
      </c>
      <c r="J4" s="52" t="s">
        <v>8</v>
      </c>
      <c r="K4" s="52" t="s">
        <v>9</v>
      </c>
      <c r="L4" s="52" t="s">
        <v>10</v>
      </c>
      <c r="M4" s="53" t="s">
        <v>11</v>
      </c>
      <c r="O4" s="1"/>
      <c r="P4" s="3"/>
    </row>
    <row r="5" spans="1:16" ht="15">
      <c r="A5" s="16"/>
      <c r="B5" s="58"/>
      <c r="C5" s="54"/>
      <c r="D5" s="54"/>
      <c r="E5" s="54"/>
      <c r="F5" s="54"/>
      <c r="G5" s="54"/>
      <c r="H5" s="54"/>
      <c r="I5" s="54"/>
      <c r="J5" s="54"/>
      <c r="K5" s="54"/>
      <c r="L5" s="54"/>
      <c r="M5" s="55"/>
      <c r="O5" s="1"/>
      <c r="P5" s="1"/>
    </row>
    <row r="6" spans="1:16" ht="15">
      <c r="A6" s="62" t="s">
        <v>12</v>
      </c>
      <c r="B6" s="38"/>
      <c r="C6" s="38"/>
      <c r="D6" s="38"/>
      <c r="E6" s="38"/>
      <c r="F6" s="38"/>
      <c r="G6" s="39" t="s">
        <v>16</v>
      </c>
      <c r="H6" s="38"/>
      <c r="I6" s="38"/>
      <c r="J6" s="27"/>
      <c r="K6" s="27"/>
      <c r="L6" s="27"/>
      <c r="M6" s="28"/>
      <c r="O6" s="1"/>
      <c r="P6" s="5"/>
    </row>
    <row r="7" spans="1:16" ht="15">
      <c r="A7" s="63">
        <v>28</v>
      </c>
      <c r="B7" s="18"/>
      <c r="C7" s="18"/>
      <c r="D7" s="18"/>
      <c r="E7" s="18"/>
      <c r="F7" s="18"/>
      <c r="G7" s="19" t="s">
        <v>13</v>
      </c>
      <c r="H7" s="18"/>
      <c r="I7" s="18"/>
      <c r="J7" s="18"/>
      <c r="K7" s="18"/>
      <c r="L7" s="18"/>
      <c r="M7" s="20"/>
      <c r="O7" s="1"/>
      <c r="P7" s="5"/>
    </row>
    <row r="8" spans="1:16" ht="15">
      <c r="A8" s="57"/>
      <c r="B8" s="10"/>
      <c r="C8" s="10"/>
      <c r="D8" s="10"/>
      <c r="E8" s="10"/>
      <c r="F8" s="11"/>
      <c r="G8" s="10"/>
      <c r="H8" s="10"/>
      <c r="I8" s="10"/>
      <c r="J8" s="10"/>
      <c r="K8" s="10"/>
      <c r="L8" s="10"/>
      <c r="M8" s="17"/>
      <c r="O8" s="1"/>
      <c r="P8" s="5"/>
    </row>
    <row r="9" spans="1:16" ht="15">
      <c r="A9" s="64" t="s">
        <v>17</v>
      </c>
      <c r="B9" s="31"/>
      <c r="C9" s="31"/>
      <c r="D9" s="31"/>
      <c r="E9" s="31"/>
      <c r="F9" s="31"/>
      <c r="G9" s="32" t="s">
        <v>16</v>
      </c>
      <c r="H9" s="31"/>
      <c r="I9" s="31"/>
      <c r="J9" s="27"/>
      <c r="K9" s="27"/>
      <c r="L9" s="40"/>
      <c r="M9" s="41"/>
      <c r="O9" s="1"/>
      <c r="P9" s="5"/>
    </row>
    <row r="10" spans="1:16" ht="15">
      <c r="A10" s="63">
        <v>29</v>
      </c>
      <c r="B10" s="42"/>
      <c r="C10" s="42"/>
      <c r="D10" s="42"/>
      <c r="E10" s="42"/>
      <c r="F10" s="42"/>
      <c r="G10" s="43" t="s">
        <v>15</v>
      </c>
      <c r="H10" s="42"/>
      <c r="I10" s="42"/>
      <c r="J10" s="42"/>
      <c r="K10" s="42"/>
      <c r="L10" s="42"/>
      <c r="M10" s="44"/>
      <c r="O10" s="4"/>
      <c r="P10" s="5"/>
    </row>
    <row r="11" spans="1:16" ht="15">
      <c r="A11" s="57"/>
      <c r="B11" s="10"/>
      <c r="C11" s="10"/>
      <c r="D11" s="10"/>
      <c r="E11" s="10"/>
      <c r="F11" s="11"/>
      <c r="G11" s="10"/>
      <c r="H11" s="10"/>
      <c r="I11" s="10"/>
      <c r="J11" s="10"/>
      <c r="K11" s="10"/>
      <c r="L11" s="10"/>
      <c r="M11" s="17"/>
      <c r="O11" s="1"/>
      <c r="P11" s="5"/>
    </row>
    <row r="12" spans="1:16" ht="15">
      <c r="A12" s="64" t="s">
        <v>18</v>
      </c>
      <c r="B12" s="35"/>
      <c r="C12" s="35"/>
      <c r="D12" s="35"/>
      <c r="E12" s="35"/>
      <c r="F12" s="35"/>
      <c r="G12" s="36" t="s">
        <v>13</v>
      </c>
      <c r="H12" s="35"/>
      <c r="I12" s="35"/>
      <c r="J12" s="27"/>
      <c r="K12" s="40" t="s">
        <v>14</v>
      </c>
      <c r="L12" s="40"/>
      <c r="M12" s="41"/>
      <c r="O12" s="1"/>
      <c r="P12" s="5"/>
    </row>
    <row r="13" spans="1:16" ht="15">
      <c r="A13" s="65">
        <v>30</v>
      </c>
      <c r="B13" s="45"/>
      <c r="C13" s="45"/>
      <c r="D13" s="45"/>
      <c r="E13" s="45"/>
      <c r="F13" s="45"/>
      <c r="G13" s="46" t="s">
        <v>16</v>
      </c>
      <c r="H13" s="45"/>
      <c r="I13" s="45"/>
      <c r="J13" s="45"/>
      <c r="K13" s="45"/>
      <c r="L13" s="45"/>
      <c r="M13" s="47"/>
      <c r="O13" s="1"/>
      <c r="P13" s="5"/>
    </row>
    <row r="14" spans="1:16" ht="15">
      <c r="A14" s="56"/>
      <c r="B14" s="10"/>
      <c r="C14" s="10"/>
      <c r="D14" s="10"/>
      <c r="E14" s="10"/>
      <c r="F14" s="11"/>
      <c r="G14" s="10"/>
      <c r="H14" s="10"/>
      <c r="I14" s="10"/>
      <c r="J14" s="10"/>
      <c r="K14" s="10"/>
      <c r="L14" s="10"/>
      <c r="M14" s="17"/>
      <c r="O14" s="1"/>
      <c r="P14" s="5"/>
    </row>
    <row r="15" spans="1:16" ht="15">
      <c r="A15" s="64" t="s">
        <v>19</v>
      </c>
      <c r="B15" s="48"/>
      <c r="C15" s="48"/>
      <c r="D15" s="48"/>
      <c r="E15" s="48"/>
      <c r="F15" s="48"/>
      <c r="G15" s="49" t="s">
        <v>15</v>
      </c>
      <c r="H15" s="48"/>
      <c r="I15" s="48"/>
      <c r="J15" s="27"/>
      <c r="K15" s="27"/>
      <c r="L15" s="34"/>
      <c r="M15" s="37"/>
      <c r="O15" s="1"/>
      <c r="P15" s="5"/>
    </row>
    <row r="16" spans="1:16" ht="15">
      <c r="A16" s="65"/>
      <c r="B16" s="18"/>
      <c r="C16" s="18"/>
      <c r="D16" s="18"/>
      <c r="E16" s="18"/>
      <c r="F16" s="18"/>
      <c r="G16" s="19" t="s">
        <v>13</v>
      </c>
      <c r="H16" s="18"/>
      <c r="I16" s="18"/>
      <c r="J16" s="90"/>
      <c r="K16" s="18"/>
      <c r="L16" s="18"/>
      <c r="M16" s="20"/>
      <c r="O16" s="1"/>
      <c r="P16" s="5"/>
    </row>
    <row r="17" spans="1:16" ht="15">
      <c r="A17" s="56"/>
      <c r="B17" s="10"/>
      <c r="C17" s="10"/>
      <c r="D17" s="10"/>
      <c r="E17" s="10"/>
      <c r="F17" s="11"/>
      <c r="G17" s="10"/>
      <c r="H17" s="10"/>
      <c r="I17" s="10"/>
      <c r="J17" s="10"/>
      <c r="K17" s="10"/>
      <c r="L17" s="10"/>
      <c r="M17" s="17"/>
      <c r="O17" s="1"/>
      <c r="P17" s="5"/>
    </row>
    <row r="18" spans="1:16" ht="15">
      <c r="A18" s="64" t="s">
        <v>20</v>
      </c>
      <c r="B18" s="31"/>
      <c r="C18" s="31"/>
      <c r="D18" s="31"/>
      <c r="E18" s="31"/>
      <c r="F18" s="31"/>
      <c r="G18" s="32" t="s">
        <v>16</v>
      </c>
      <c r="H18" s="31"/>
      <c r="I18" s="31"/>
      <c r="J18" s="27"/>
      <c r="K18" s="27"/>
      <c r="L18" s="40"/>
      <c r="M18" s="41"/>
      <c r="O18" s="1"/>
      <c r="P18" s="5"/>
    </row>
    <row r="19" spans="1:16" ht="15">
      <c r="A19" s="63"/>
      <c r="B19" s="42"/>
      <c r="C19" s="42"/>
      <c r="D19" s="42"/>
      <c r="E19" s="42"/>
      <c r="F19" s="42"/>
      <c r="G19" s="43" t="s">
        <v>15</v>
      </c>
      <c r="H19" s="42"/>
      <c r="I19" s="42"/>
      <c r="J19" s="42"/>
      <c r="K19" s="42"/>
      <c r="L19" s="42"/>
      <c r="M19" s="95"/>
      <c r="O19" s="4"/>
      <c r="P19" s="5"/>
    </row>
    <row r="20" spans="1:16" ht="15">
      <c r="A20" s="57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7"/>
      <c r="O20" s="4"/>
      <c r="P20" s="5"/>
    </row>
    <row r="21" spans="1:16" ht="15">
      <c r="A21" s="66" t="s">
        <v>21</v>
      </c>
      <c r="B21" s="31"/>
      <c r="C21" s="31"/>
      <c r="D21" s="31"/>
      <c r="E21" s="31"/>
      <c r="F21" s="31"/>
      <c r="G21" s="32" t="s">
        <v>16</v>
      </c>
      <c r="H21" s="31"/>
      <c r="I21" s="31"/>
      <c r="J21" s="31"/>
      <c r="K21" s="31"/>
      <c r="L21" s="31"/>
      <c r="M21" s="33"/>
      <c r="O21" s="1"/>
      <c r="P21" s="5"/>
    </row>
    <row r="22" spans="1:16" ht="15">
      <c r="A22" s="63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6"/>
      <c r="O22" s="3"/>
      <c r="P22" s="2"/>
    </row>
    <row r="23" spans="1:16" ht="15">
      <c r="A23" s="5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7"/>
      <c r="N23" s="1"/>
      <c r="O23" s="1"/>
      <c r="P23" s="1"/>
    </row>
    <row r="24" spans="1:16" ht="15">
      <c r="A24" s="71" t="s">
        <v>22</v>
      </c>
      <c r="B24" s="27"/>
      <c r="C24" s="59"/>
      <c r="D24" s="34"/>
      <c r="E24" s="34"/>
      <c r="F24" s="34"/>
      <c r="G24" s="34"/>
      <c r="H24" s="60"/>
      <c r="I24" s="34"/>
      <c r="J24" s="34"/>
      <c r="K24" s="34"/>
      <c r="L24" s="34"/>
      <c r="M24" s="37"/>
      <c r="N24" s="1"/>
      <c r="O24" s="2"/>
      <c r="P24" s="2"/>
    </row>
    <row r="25" spans="1:16" ht="15">
      <c r="A25" s="65"/>
      <c r="B25" s="21"/>
      <c r="C25" s="22"/>
      <c r="D25" s="23"/>
      <c r="E25" s="23"/>
      <c r="F25" s="23"/>
      <c r="G25" s="23"/>
      <c r="H25" s="24"/>
      <c r="I25" s="23"/>
      <c r="J25" s="23"/>
      <c r="K25" s="23"/>
      <c r="L25" s="23"/>
      <c r="M25" s="25"/>
      <c r="N25" s="1"/>
      <c r="O25" s="2"/>
      <c r="P25" s="2"/>
    </row>
    <row r="27" spans="1:16">
      <c r="P27" s="5"/>
    </row>
    <row r="28" spans="1:16">
      <c r="P28" s="5"/>
    </row>
    <row r="32" spans="1:16" ht="15">
      <c r="C32" s="3"/>
      <c r="D32" s="2"/>
      <c r="E32" s="1"/>
      <c r="I32" s="86" t="s">
        <v>23</v>
      </c>
      <c r="J32" s="109" t="s">
        <v>24</v>
      </c>
      <c r="K32" s="109"/>
      <c r="L32" s="112" t="s">
        <v>25</v>
      </c>
      <c r="M32" s="113"/>
    </row>
    <row r="33" spans="2:13" ht="15">
      <c r="C33" s="1"/>
      <c r="D33" s="1"/>
      <c r="E33" s="1"/>
      <c r="I33" s="87" t="s">
        <v>15</v>
      </c>
      <c r="J33" s="110">
        <f>LiczGodziny($B$6:$M$31,44)</f>
        <v>32</v>
      </c>
      <c r="K33" s="110"/>
      <c r="L33" s="103">
        <f>J33+'21-27'!L28:M28</f>
        <v>119</v>
      </c>
      <c r="M33" s="104"/>
    </row>
    <row r="34" spans="2:13" ht="15">
      <c r="B34" s="6"/>
      <c r="C34" s="2"/>
      <c r="D34" s="1"/>
      <c r="E34" s="9"/>
      <c r="I34" s="88" t="s">
        <v>13</v>
      </c>
      <c r="J34" s="111">
        <f>LiczGodziny($B$6:$M$31,23)</f>
        <v>32</v>
      </c>
      <c r="K34" s="111"/>
      <c r="L34" s="105">
        <f>J34+'21-27'!L29:M29</f>
        <v>160</v>
      </c>
      <c r="M34" s="106"/>
    </row>
    <row r="35" spans="2:13" ht="15">
      <c r="B35" s="7"/>
      <c r="C35" s="2"/>
      <c r="D35" s="1"/>
      <c r="E35" s="9"/>
      <c r="I35" s="89" t="s">
        <v>16</v>
      </c>
      <c r="J35" s="102">
        <f>LiczGodziny($B$6:$M$31,9)</f>
        <v>48</v>
      </c>
      <c r="K35" s="102"/>
      <c r="L35" s="107">
        <f>J35+'21-27'!L30:M30</f>
        <v>176</v>
      </c>
      <c r="M35" s="108"/>
    </row>
    <row r="36" spans="2:13" ht="15">
      <c r="B36" s="8"/>
      <c r="C36" s="2"/>
      <c r="D36" s="1"/>
      <c r="E36" s="9"/>
    </row>
  </sheetData>
  <sheetProtection selectLockedCells="1" selectUnlockedCells="1"/>
  <mergeCells count="8">
    <mergeCell ref="J32:K32"/>
    <mergeCell ref="J33:K33"/>
    <mergeCell ref="L32:M32"/>
    <mergeCell ref="J35:K35"/>
    <mergeCell ref="L35:M35"/>
    <mergeCell ref="J34:K34"/>
    <mergeCell ref="L33:M33"/>
    <mergeCell ref="L34:M34"/>
  </mergeCells>
  <pageMargins left="0.78749999999999998" right="0.78749999999999998" top="1.0249999999999999" bottom="1.0249999999999999" header="0.78749999999999998" footer="0.78749999999999998"/>
  <pageSetup paperSize="9" scale="86" firstPageNumber="0" fitToHeight="0" orientation="landscape" r:id="rId1"/>
  <headerFooter alignWithMargins="0">
    <oddHeader>&amp;C&amp;A</oddHeader>
    <oddFooter>&amp;CStrona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5</vt:i4>
      </vt:variant>
    </vt:vector>
  </HeadingPairs>
  <TitlesOfParts>
    <vt:vector size="10" baseType="lpstr">
      <vt:lpstr>1-6</vt:lpstr>
      <vt:lpstr>7-13</vt:lpstr>
      <vt:lpstr>14-20</vt:lpstr>
      <vt:lpstr>21-27</vt:lpstr>
      <vt:lpstr>24-30</vt:lpstr>
      <vt:lpstr>'14-20'!Obszar_wydruku</vt:lpstr>
      <vt:lpstr>'1-6'!Obszar_wydruku</vt:lpstr>
      <vt:lpstr>'21-27'!Obszar_wydruku</vt:lpstr>
      <vt:lpstr>'24-30'!Obszar_wydruku</vt:lpstr>
      <vt:lpstr>'7-13'!Obszar_wydruku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Krzysiek</dc:creator>
  <cp:lastModifiedBy>Baton</cp:lastModifiedBy>
  <cp:lastPrinted>2021-02-03T12:13:07Z</cp:lastPrinted>
  <dcterms:created xsi:type="dcterms:W3CDTF">2020-11-28T21:14:20Z</dcterms:created>
  <dcterms:modified xsi:type="dcterms:W3CDTF">2021-02-03T12:38:26Z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ysuj_grafik_1" visible="true" label="rysuj_grafik" imageMso="FormatPainter" onAction="rysuj_grafik"/>
        <mso:button idQ="doc:zapisz_1" visible="true" label="zapisz" imageMso="ControlTabControl" onAction="zapisz"/>
      </mso:documentControls>
    </mso:qat>
  </mso:ribbon>
</mso:customUI>
</file>